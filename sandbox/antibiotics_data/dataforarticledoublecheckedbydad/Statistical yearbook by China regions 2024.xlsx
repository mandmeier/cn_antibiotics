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Kalista\Desktop\Для Алисы\tab 2\"/>
    </mc:Choice>
  </mc:AlternateContent>
  <xr:revisionPtr revIDLastSave="0" documentId="13_ncr:1_{6A9CA4AE-DEC9-495E-87DA-8FA303463577}" xr6:coauthVersionLast="47" xr6:coauthVersionMax="47" xr10:uidLastSave="{00000000-0000-0000-0000-000000000000}"/>
  <bookViews>
    <workbookView xWindow="-108" yWindow="-108" windowWidth="23256" windowHeight="12456" tabRatio="815" xr2:uid="{00000000-000D-0000-FFFF-FFFF00000000}"/>
  </bookViews>
  <sheets>
    <sheet name="data on chinese regions 202 (R)" sheetId="5" r:id="rId1"/>
    <sheet name="data on chinese regions 2024" sheetId="1" r:id="rId2"/>
    <sheet name="notes" sheetId="2" r:id="rId3"/>
    <sheet name="data on chinese regions 202 (2)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34" i="5" l="1"/>
  <c r="BO34" i="5" s="1"/>
  <c r="BG34" i="5"/>
  <c r="BH34" i="5" s="1"/>
  <c r="BA34" i="5"/>
  <c r="BB34" i="5" s="1"/>
  <c r="BN33" i="5"/>
  <c r="BO33" i="5" s="1"/>
  <c r="BG33" i="5"/>
  <c r="BH33" i="5" s="1"/>
  <c r="BA33" i="5"/>
  <c r="BN32" i="5"/>
  <c r="BO32" i="5" s="1"/>
  <c r="BG32" i="5"/>
  <c r="BH32" i="5" s="1"/>
  <c r="BA32" i="5"/>
  <c r="BB32" i="5" s="1"/>
  <c r="BN31" i="5"/>
  <c r="BO31" i="5" s="1"/>
  <c r="BG31" i="5"/>
  <c r="BH31" i="5" s="1"/>
  <c r="BA31" i="5"/>
  <c r="BN30" i="5"/>
  <c r="BO30" i="5" s="1"/>
  <c r="BG30" i="5"/>
  <c r="BH30" i="5" s="1"/>
  <c r="BA30" i="5"/>
  <c r="BB30" i="5" s="1"/>
  <c r="BN29" i="5"/>
  <c r="BO29" i="5" s="1"/>
  <c r="BG29" i="5"/>
  <c r="BH29" i="5" s="1"/>
  <c r="BA29" i="5"/>
  <c r="BB29" i="5" s="1"/>
  <c r="BN28" i="5"/>
  <c r="BO28" i="5" s="1"/>
  <c r="BG28" i="5"/>
  <c r="BA28" i="5"/>
  <c r="BB28" i="5" s="1"/>
  <c r="BN27" i="5"/>
  <c r="BO27" i="5" s="1"/>
  <c r="BG27" i="5"/>
  <c r="BH27" i="5" s="1"/>
  <c r="BA27" i="5"/>
  <c r="BB27" i="5" s="1"/>
  <c r="BN26" i="5"/>
  <c r="BO26" i="5" s="1"/>
  <c r="BG26" i="5"/>
  <c r="BH26" i="5" s="1"/>
  <c r="BA26" i="5"/>
  <c r="BN25" i="5"/>
  <c r="BO25" i="5" s="1"/>
  <c r="BG25" i="5"/>
  <c r="BH25" i="5" s="1"/>
  <c r="BA25" i="5"/>
  <c r="BN24" i="5"/>
  <c r="BO24" i="5" s="1"/>
  <c r="BG24" i="5"/>
  <c r="BH24" i="5" s="1"/>
  <c r="BA24" i="5"/>
  <c r="BB24" i="5" s="1"/>
  <c r="BN23" i="5"/>
  <c r="BO23" i="5" s="1"/>
  <c r="BG23" i="5"/>
  <c r="BH23" i="5" s="1"/>
  <c r="BA23" i="5"/>
  <c r="BB23" i="5" s="1"/>
  <c r="BN22" i="5"/>
  <c r="BO22" i="5" s="1"/>
  <c r="BG22" i="5"/>
  <c r="BH22" i="5" s="1"/>
  <c r="BA22" i="5"/>
  <c r="BB22" i="5" s="1"/>
  <c r="BN21" i="5"/>
  <c r="BO21" i="5" s="1"/>
  <c r="BG21" i="5"/>
  <c r="BH21" i="5" s="1"/>
  <c r="BA21" i="5"/>
  <c r="BB21" i="5" s="1"/>
  <c r="BN20" i="5"/>
  <c r="BO20" i="5" s="1"/>
  <c r="BG20" i="5"/>
  <c r="BH20" i="5" s="1"/>
  <c r="BA20" i="5"/>
  <c r="BN19" i="5"/>
  <c r="BO19" i="5" s="1"/>
  <c r="BG19" i="5"/>
  <c r="BH19" i="5" s="1"/>
  <c r="BA19" i="5"/>
  <c r="BN18" i="5"/>
  <c r="BO18" i="5" s="1"/>
  <c r="BG18" i="5"/>
  <c r="BH18" i="5" s="1"/>
  <c r="BA18" i="5"/>
  <c r="BB18" i="5" s="1"/>
  <c r="BN17" i="5"/>
  <c r="BO17" i="5" s="1"/>
  <c r="BG17" i="5"/>
  <c r="BH17" i="5" s="1"/>
  <c r="BA17" i="5"/>
  <c r="BB17" i="5" s="1"/>
  <c r="BN16" i="5"/>
  <c r="BO16" i="5" s="1"/>
  <c r="BG16" i="5"/>
  <c r="BH16" i="5" s="1"/>
  <c r="BA16" i="5"/>
  <c r="BB16" i="5" s="1"/>
  <c r="BN15" i="5"/>
  <c r="BO15" i="5" s="1"/>
  <c r="BG15" i="5"/>
  <c r="BH15" i="5" s="1"/>
  <c r="BA15" i="5"/>
  <c r="BN14" i="5"/>
  <c r="BO14" i="5" s="1"/>
  <c r="BG14" i="5"/>
  <c r="BH14" i="5" s="1"/>
  <c r="BA14" i="5"/>
  <c r="BN13" i="5"/>
  <c r="BO13" i="5" s="1"/>
  <c r="BG13" i="5"/>
  <c r="BH13" i="5" s="1"/>
  <c r="BA13" i="5"/>
  <c r="BN12" i="5"/>
  <c r="BO12" i="5" s="1"/>
  <c r="BG12" i="5"/>
  <c r="BH12" i="5" s="1"/>
  <c r="BA12" i="5"/>
  <c r="BB12" i="5" s="1"/>
  <c r="BN11" i="5"/>
  <c r="BO11" i="5" s="1"/>
  <c r="BG11" i="5"/>
  <c r="BH11" i="5" s="1"/>
  <c r="BA11" i="5"/>
  <c r="BB11" i="5" s="1"/>
  <c r="BN10" i="5"/>
  <c r="BO10" i="5" s="1"/>
  <c r="BG10" i="5"/>
  <c r="BA10" i="5"/>
  <c r="BB10" i="5" s="1"/>
  <c r="BN9" i="5"/>
  <c r="BO9" i="5" s="1"/>
  <c r="BG9" i="5"/>
  <c r="BH9" i="5" s="1"/>
  <c r="BA9" i="5"/>
  <c r="BB9" i="5" s="1"/>
  <c r="BN8" i="5"/>
  <c r="BO8" i="5" s="1"/>
  <c r="BG8" i="5"/>
  <c r="BH8" i="5" s="1"/>
  <c r="BA8" i="5"/>
  <c r="BN7" i="5"/>
  <c r="BO7" i="5" s="1"/>
  <c r="BG7" i="5"/>
  <c r="BH7" i="5" s="1"/>
  <c r="BA7" i="5"/>
  <c r="BN6" i="5"/>
  <c r="BO6" i="5" s="1"/>
  <c r="BG6" i="5"/>
  <c r="BH6" i="5" s="1"/>
  <c r="BA6" i="5"/>
  <c r="BB6" i="5" s="1"/>
  <c r="BN5" i="5"/>
  <c r="BO5" i="5" s="1"/>
  <c r="BG5" i="5"/>
  <c r="BH5" i="5" s="1"/>
  <c r="BA5" i="5"/>
  <c r="BB5" i="5" s="1"/>
  <c r="BN4" i="5"/>
  <c r="BO4" i="5" s="1"/>
  <c r="BG4" i="5"/>
  <c r="BH4" i="5" s="1"/>
  <c r="BA4" i="5"/>
  <c r="BB4" i="5" s="1"/>
  <c r="BN3" i="5"/>
  <c r="BO3" i="5" s="1"/>
  <c r="BG3" i="5"/>
  <c r="BH3" i="5" s="1"/>
  <c r="BA3" i="5"/>
  <c r="BB3" i="5" s="1"/>
  <c r="W3" i="1"/>
  <c r="W4" i="1"/>
  <c r="BL36" i="1"/>
  <c r="BL35" i="1"/>
  <c r="BL34" i="1"/>
  <c r="BM34" i="1" s="1"/>
  <c r="BL33" i="1"/>
  <c r="BM33" i="1" s="1"/>
  <c r="BL32" i="1"/>
  <c r="BM32" i="1" s="1"/>
  <c r="BL31" i="1"/>
  <c r="BL30" i="1"/>
  <c r="BL29" i="1"/>
  <c r="BL28" i="1"/>
  <c r="BM28" i="1" s="1"/>
  <c r="BL27" i="1"/>
  <c r="BM27" i="1" s="1"/>
  <c r="BL26" i="1"/>
  <c r="BM26" i="1" s="1"/>
  <c r="BL25" i="1"/>
  <c r="BL24" i="1"/>
  <c r="BL23" i="1"/>
  <c r="BL22" i="1"/>
  <c r="BM22" i="1" s="1"/>
  <c r="BL21" i="1"/>
  <c r="BM21" i="1" s="1"/>
  <c r="BL20" i="1"/>
  <c r="BM20" i="1" s="1"/>
  <c r="BL19" i="1"/>
  <c r="BL18" i="1"/>
  <c r="BL17" i="1"/>
  <c r="BL16" i="1"/>
  <c r="BM16" i="1" s="1"/>
  <c r="BL15" i="1"/>
  <c r="BM15" i="1" s="1"/>
  <c r="BL14" i="1"/>
  <c r="BM14" i="1" s="1"/>
  <c r="BL13" i="1"/>
  <c r="BL12" i="1"/>
  <c r="BL11" i="1"/>
  <c r="BL10" i="1"/>
  <c r="BM10" i="1" s="1"/>
  <c r="BL9" i="1"/>
  <c r="BM9" i="1" s="1"/>
  <c r="BL8" i="1"/>
  <c r="BM8" i="1" s="1"/>
  <c r="BL7" i="1"/>
  <c r="BL6" i="1"/>
  <c r="BL5" i="1"/>
  <c r="BM5" i="1" s="1"/>
  <c r="BM36" i="1"/>
  <c r="BM35" i="1"/>
  <c r="BM31" i="1"/>
  <c r="BM30" i="1"/>
  <c r="BM29" i="1"/>
  <c r="BM25" i="1"/>
  <c r="BM24" i="1"/>
  <c r="BM23" i="1"/>
  <c r="BM19" i="1"/>
  <c r="BM18" i="1"/>
  <c r="BM17" i="1"/>
  <c r="BM13" i="1"/>
  <c r="BM12" i="1"/>
  <c r="BM11" i="1"/>
  <c r="BM7" i="1"/>
  <c r="BM6" i="1"/>
  <c r="CB36" i="1"/>
  <c r="CC36" i="1" s="1"/>
  <c r="CB35" i="1"/>
  <c r="CC35" i="1" s="1"/>
  <c r="CC34" i="1"/>
  <c r="CB34" i="1"/>
  <c r="CB33" i="1"/>
  <c r="CC33" i="1" s="1"/>
  <c r="CB32" i="1"/>
  <c r="CC32" i="1" s="1"/>
  <c r="CB31" i="1"/>
  <c r="CC31" i="1" s="1"/>
  <c r="CB30" i="1"/>
  <c r="CC30" i="1" s="1"/>
  <c r="CB29" i="1"/>
  <c r="CC29" i="1" s="1"/>
  <c r="CB28" i="1"/>
  <c r="CC28" i="1" s="1"/>
  <c r="CB27" i="1"/>
  <c r="CC27" i="1" s="1"/>
  <c r="CB26" i="1"/>
  <c r="CC26" i="1" s="1"/>
  <c r="CB25" i="1"/>
  <c r="CC25" i="1" s="1"/>
  <c r="CB24" i="1"/>
  <c r="CC24" i="1" s="1"/>
  <c r="CB23" i="1"/>
  <c r="CC23" i="1" s="1"/>
  <c r="CC22" i="1"/>
  <c r="CB22" i="1"/>
  <c r="CB21" i="1"/>
  <c r="CC21" i="1" s="1"/>
  <c r="CB20" i="1"/>
  <c r="CC20" i="1" s="1"/>
  <c r="CB19" i="1"/>
  <c r="CC19" i="1" s="1"/>
  <c r="CB18" i="1"/>
  <c r="CC18" i="1" s="1"/>
  <c r="CB17" i="1"/>
  <c r="CC17" i="1" s="1"/>
  <c r="CC16" i="1"/>
  <c r="CB16" i="1"/>
  <c r="CB15" i="1"/>
  <c r="CC15" i="1" s="1"/>
  <c r="CB14" i="1"/>
  <c r="CC14" i="1" s="1"/>
  <c r="CB13" i="1"/>
  <c r="CC13" i="1" s="1"/>
  <c r="CB12" i="1"/>
  <c r="CC12" i="1" s="1"/>
  <c r="CB11" i="1"/>
  <c r="CC11" i="1" s="1"/>
  <c r="CB10" i="1"/>
  <c r="CC10" i="1" s="1"/>
  <c r="CB9" i="1"/>
  <c r="CC9" i="1" s="1"/>
  <c r="CB8" i="1"/>
  <c r="CC8" i="1" s="1"/>
  <c r="CB7" i="1"/>
  <c r="CC7" i="1" s="1"/>
  <c r="CB6" i="1"/>
  <c r="CC6" i="1" s="1"/>
  <c r="CB5" i="1"/>
  <c r="CC5" i="1" s="1"/>
  <c r="BU36" i="1"/>
  <c r="BV36" i="1" s="1"/>
  <c r="BU35" i="1"/>
  <c r="BU34" i="1"/>
  <c r="BV34" i="1" s="1"/>
  <c r="BU33" i="1"/>
  <c r="BV33" i="1" s="1"/>
  <c r="BU32" i="1"/>
  <c r="BU31" i="1"/>
  <c r="BU30" i="1"/>
  <c r="BV30" i="1" s="1"/>
  <c r="BU29" i="1"/>
  <c r="BV29" i="1" s="1"/>
  <c r="BU28" i="1"/>
  <c r="BV28" i="1" s="1"/>
  <c r="BU27" i="1"/>
  <c r="BV27" i="1" s="1"/>
  <c r="BU26" i="1"/>
  <c r="BV26" i="1" s="1"/>
  <c r="BU25" i="1"/>
  <c r="BV25" i="1" s="1"/>
  <c r="BU24" i="1"/>
  <c r="BV24" i="1" s="1"/>
  <c r="BU23" i="1"/>
  <c r="BU22" i="1"/>
  <c r="BV22" i="1" s="1"/>
  <c r="BU21" i="1"/>
  <c r="BV21" i="1" s="1"/>
  <c r="BU20" i="1"/>
  <c r="BU19" i="1"/>
  <c r="BV19" i="1" s="1"/>
  <c r="BU18" i="1"/>
  <c r="BV18" i="1" s="1"/>
  <c r="BU17" i="1"/>
  <c r="BV17" i="1" s="1"/>
  <c r="BU16" i="1"/>
  <c r="BV16" i="1" s="1"/>
  <c r="BU15" i="1"/>
  <c r="BV15" i="1" s="1"/>
  <c r="BU14" i="1"/>
  <c r="BV14" i="1" s="1"/>
  <c r="BU13" i="1"/>
  <c r="BV13" i="1" s="1"/>
  <c r="BU12" i="1"/>
  <c r="BV12" i="1" s="1"/>
  <c r="BU11" i="1"/>
  <c r="BU10" i="1"/>
  <c r="BV10" i="1" s="1"/>
  <c r="BU9" i="1"/>
  <c r="BU8" i="1"/>
  <c r="BU7" i="1"/>
  <c r="BV7" i="1" s="1"/>
  <c r="BU6" i="1"/>
  <c r="BV6" i="1" s="1"/>
  <c r="BU5" i="1"/>
  <c r="BV5" i="1" s="1"/>
  <c r="BV35" i="1"/>
  <c r="BV32" i="1"/>
  <c r="BV31" i="1"/>
  <c r="BV23" i="1"/>
  <c r="BV20" i="1"/>
  <c r="BV11" i="1"/>
  <c r="BV9" i="1"/>
  <c r="BV8" i="1"/>
  <c r="BO36" i="1"/>
  <c r="BP36" i="1" s="1"/>
  <c r="BO35" i="1"/>
  <c r="BP35" i="1" s="1"/>
  <c r="BO34" i="1"/>
  <c r="BP34" i="1" s="1"/>
  <c r="BO33" i="1"/>
  <c r="BP33" i="1" s="1"/>
  <c r="BO32" i="1"/>
  <c r="BP32" i="1" s="1"/>
  <c r="BO31" i="1"/>
  <c r="BP31" i="1" s="1"/>
  <c r="BO30" i="1"/>
  <c r="BP30" i="1" s="1"/>
  <c r="BO29" i="1"/>
  <c r="BP29" i="1" s="1"/>
  <c r="BO28" i="1"/>
  <c r="BP28" i="1" s="1"/>
  <c r="BO27" i="1"/>
  <c r="BP27" i="1" s="1"/>
  <c r="BO26" i="1"/>
  <c r="BP26" i="1" s="1"/>
  <c r="BO25" i="1"/>
  <c r="BP25" i="1" s="1"/>
  <c r="BO24" i="1"/>
  <c r="BP24" i="1" s="1"/>
  <c r="BO23" i="1"/>
  <c r="BP23" i="1" s="1"/>
  <c r="BO22" i="1"/>
  <c r="BP22" i="1" s="1"/>
  <c r="BO21" i="1"/>
  <c r="BP21" i="1" s="1"/>
  <c r="BO20" i="1"/>
  <c r="BP20" i="1" s="1"/>
  <c r="BO19" i="1"/>
  <c r="BP19" i="1" s="1"/>
  <c r="BO18" i="1"/>
  <c r="BO17" i="1"/>
  <c r="BP17" i="1" s="1"/>
  <c r="BO16" i="1"/>
  <c r="BP16" i="1" s="1"/>
  <c r="BO15" i="1"/>
  <c r="BP15" i="1" s="1"/>
  <c r="BO14" i="1"/>
  <c r="BP14" i="1" s="1"/>
  <c r="BO13" i="1"/>
  <c r="BP13" i="1" s="1"/>
  <c r="BO12" i="1"/>
  <c r="BP12" i="1" s="1"/>
  <c r="BO11" i="1"/>
  <c r="BP11" i="1" s="1"/>
  <c r="BO10" i="1"/>
  <c r="BP10" i="1" s="1"/>
  <c r="BO9" i="1"/>
  <c r="BP9" i="1" s="1"/>
  <c r="BO8" i="1"/>
  <c r="BO7" i="1"/>
  <c r="BP7" i="1" s="1"/>
  <c r="BO6" i="1"/>
  <c r="BO5" i="1"/>
  <c r="BP5" i="1" s="1"/>
  <c r="BP18" i="1"/>
  <c r="BP6" i="1"/>
  <c r="BX4" i="1"/>
  <c r="BX3" i="1" s="1"/>
  <c r="CG4" i="1"/>
  <c r="CG3" i="1" s="1"/>
  <c r="CF4" i="1"/>
  <c r="CF3" i="1" s="1"/>
  <c r="CE4" i="1"/>
  <c r="CD4" i="1"/>
  <c r="CD3" i="1" s="1"/>
  <c r="CA4" i="1"/>
  <c r="CA3" i="1" s="1"/>
  <c r="BZ4" i="1"/>
  <c r="BZ3" i="1" s="1"/>
  <c r="BY4" i="1"/>
  <c r="BY3" i="1" s="1"/>
  <c r="BW4" i="1"/>
  <c r="BW3" i="1" s="1"/>
  <c r="BT4" i="1"/>
  <c r="BT3" i="1" s="1"/>
  <c r="BS4" i="1"/>
  <c r="BS3" i="1" s="1"/>
  <c r="BR4" i="1"/>
  <c r="BR3" i="1" s="1"/>
  <c r="BQ4" i="1"/>
  <c r="BQ3" i="1" s="1"/>
  <c r="BN4" i="1"/>
  <c r="BN3" i="1" s="1"/>
  <c r="BK4" i="1"/>
  <c r="BK3" i="1" s="1"/>
  <c r="CE3" i="1"/>
  <c r="C21" i="1"/>
  <c r="D21" i="1" s="1"/>
  <c r="J21" i="1"/>
  <c r="K21" i="1" s="1"/>
  <c r="P21" i="1"/>
  <c r="Q21" i="1" s="1"/>
  <c r="AF21" i="1"/>
  <c r="AG21" i="1" s="1"/>
  <c r="AO21" i="1"/>
  <c r="AP21" i="1" s="1"/>
  <c r="AV21" i="1"/>
  <c r="AW21" i="1" s="1"/>
  <c r="BD21" i="1"/>
  <c r="BE21" i="1" s="1"/>
  <c r="BD36" i="1"/>
  <c r="BE36" i="1" s="1"/>
  <c r="BD35" i="1"/>
  <c r="BD34" i="1"/>
  <c r="BE34" i="1" s="1"/>
  <c r="BD33" i="1"/>
  <c r="BE33" i="1" s="1"/>
  <c r="BD32" i="1"/>
  <c r="BE32" i="1" s="1"/>
  <c r="BD31" i="1"/>
  <c r="BE31" i="1" s="1"/>
  <c r="BD30" i="1"/>
  <c r="BE30" i="1" s="1"/>
  <c r="BD29" i="1"/>
  <c r="BE29" i="1" s="1"/>
  <c r="BD28" i="1"/>
  <c r="BE28" i="1" s="1"/>
  <c r="BD27" i="1"/>
  <c r="BE27" i="1" s="1"/>
  <c r="BD26" i="1"/>
  <c r="BE26" i="1" s="1"/>
  <c r="BD25" i="1"/>
  <c r="BE25" i="1" s="1"/>
  <c r="BD24" i="1"/>
  <c r="BE24" i="1" s="1"/>
  <c r="BD23" i="1"/>
  <c r="BE23" i="1" s="1"/>
  <c r="BD22" i="1"/>
  <c r="BE22" i="1" s="1"/>
  <c r="BD20" i="1"/>
  <c r="BE20" i="1" s="1"/>
  <c r="BD19" i="1"/>
  <c r="BE19" i="1" s="1"/>
  <c r="BD18" i="1"/>
  <c r="BE18" i="1" s="1"/>
  <c r="BD17" i="1"/>
  <c r="BE17" i="1" s="1"/>
  <c r="BD16" i="1"/>
  <c r="BE16" i="1" s="1"/>
  <c r="BD15" i="1"/>
  <c r="BE15" i="1" s="1"/>
  <c r="BD14" i="1"/>
  <c r="BE14" i="1" s="1"/>
  <c r="BD13" i="1"/>
  <c r="BE13" i="1" s="1"/>
  <c r="BD12" i="1"/>
  <c r="BE12" i="1" s="1"/>
  <c r="BD11" i="1"/>
  <c r="BE11" i="1" s="1"/>
  <c r="BD10" i="1"/>
  <c r="BE10" i="1" s="1"/>
  <c r="BD9" i="1"/>
  <c r="BE9" i="1" s="1"/>
  <c r="BD8" i="1"/>
  <c r="BE8" i="1" s="1"/>
  <c r="BD7" i="1"/>
  <c r="BE7" i="1" s="1"/>
  <c r="BD6" i="1"/>
  <c r="BE6" i="1" s="1"/>
  <c r="BD5" i="1"/>
  <c r="BE5" i="1" s="1"/>
  <c r="BJ4" i="1"/>
  <c r="BJ3" i="1" s="1"/>
  <c r="BI4" i="1"/>
  <c r="BI3" i="1" s="1"/>
  <c r="BH4" i="1"/>
  <c r="BH3" i="1" s="1"/>
  <c r="BG4" i="1"/>
  <c r="BG3" i="1" s="1"/>
  <c r="BF4" i="1"/>
  <c r="BF3" i="1" s="1"/>
  <c r="BC4" i="1"/>
  <c r="BC3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P29" i="1"/>
  <c r="P28" i="1"/>
  <c r="P27" i="1"/>
  <c r="P26" i="1"/>
  <c r="Q26" i="1" s="1"/>
  <c r="P25" i="1"/>
  <c r="Q25" i="1" s="1"/>
  <c r="P24" i="1"/>
  <c r="Q24" i="1" s="1"/>
  <c r="P23" i="1"/>
  <c r="Q23" i="1" s="1"/>
  <c r="P22" i="1"/>
  <c r="Q22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  <c r="Q29" i="1"/>
  <c r="Q28" i="1"/>
  <c r="Q27" i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U4" i="1"/>
  <c r="U3" i="1" s="1"/>
  <c r="T4" i="1"/>
  <c r="T3" i="1" s="1"/>
  <c r="S4" i="1"/>
  <c r="S3" i="1" s="1"/>
  <c r="R4" i="1"/>
  <c r="R3" i="1" s="1"/>
  <c r="O4" i="1"/>
  <c r="O3" i="1" s="1"/>
  <c r="N4" i="1"/>
  <c r="N3" i="1" s="1"/>
  <c r="M4" i="1"/>
  <c r="M3" i="1" s="1"/>
  <c r="L4" i="1"/>
  <c r="L3" i="1" s="1"/>
  <c r="I4" i="1"/>
  <c r="I3" i="1" s="1"/>
  <c r="BB4" i="1"/>
  <c r="BB3" i="1" s="1"/>
  <c r="BA4" i="1"/>
  <c r="BA3" i="1" s="1"/>
  <c r="AZ4" i="1"/>
  <c r="AZ3" i="1" s="1"/>
  <c r="AY4" i="1"/>
  <c r="AY3" i="1" s="1"/>
  <c r="AX4" i="1"/>
  <c r="AX3" i="1" s="1"/>
  <c r="AU4" i="1"/>
  <c r="AU3" i="1" s="1"/>
  <c r="AV36" i="1"/>
  <c r="AW36" i="1" s="1"/>
  <c r="AV35" i="1"/>
  <c r="AW35" i="1" s="1"/>
  <c r="AV34" i="1"/>
  <c r="AW34" i="1" s="1"/>
  <c r="AV33" i="1"/>
  <c r="AW33" i="1" s="1"/>
  <c r="AV32" i="1"/>
  <c r="AW32" i="1" s="1"/>
  <c r="AV31" i="1"/>
  <c r="AW31" i="1" s="1"/>
  <c r="AV30" i="1"/>
  <c r="AW30" i="1" s="1"/>
  <c r="AV29" i="1"/>
  <c r="AW29" i="1" s="1"/>
  <c r="AV28" i="1"/>
  <c r="AW28" i="1" s="1"/>
  <c r="AV27" i="1"/>
  <c r="AW27" i="1" s="1"/>
  <c r="AV26" i="1"/>
  <c r="AW26" i="1" s="1"/>
  <c r="AV25" i="1"/>
  <c r="AW25" i="1" s="1"/>
  <c r="AV24" i="1"/>
  <c r="AW24" i="1" s="1"/>
  <c r="AV23" i="1"/>
  <c r="AW23" i="1" s="1"/>
  <c r="AV22" i="1"/>
  <c r="AW22" i="1" s="1"/>
  <c r="AV20" i="1"/>
  <c r="AW20" i="1" s="1"/>
  <c r="AV19" i="1"/>
  <c r="AW19" i="1" s="1"/>
  <c r="AV18" i="1"/>
  <c r="AW18" i="1" s="1"/>
  <c r="AV17" i="1"/>
  <c r="AW17" i="1" s="1"/>
  <c r="AV16" i="1"/>
  <c r="AW16" i="1" s="1"/>
  <c r="AV15" i="1"/>
  <c r="AW15" i="1" s="1"/>
  <c r="AV14" i="1"/>
  <c r="AW14" i="1" s="1"/>
  <c r="AV13" i="1"/>
  <c r="AW13" i="1" s="1"/>
  <c r="AV12" i="1"/>
  <c r="AW12" i="1" s="1"/>
  <c r="AV11" i="1"/>
  <c r="AW11" i="1" s="1"/>
  <c r="AV10" i="1"/>
  <c r="AW10" i="1" s="1"/>
  <c r="AV9" i="1"/>
  <c r="AW9" i="1" s="1"/>
  <c r="AV8" i="1"/>
  <c r="AW8" i="1" s="1"/>
  <c r="AV7" i="1"/>
  <c r="AW7" i="1" s="1"/>
  <c r="AV6" i="1"/>
  <c r="AW6" i="1" s="1"/>
  <c r="AV5" i="1"/>
  <c r="AW5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5" i="1"/>
  <c r="D5" i="1" s="1"/>
  <c r="C6" i="1"/>
  <c r="D6" i="1" s="1"/>
  <c r="G4" i="1"/>
  <c r="G3" i="1" s="1"/>
  <c r="F4" i="1"/>
  <c r="F3" i="1" s="1"/>
  <c r="E4" i="1"/>
  <c r="E3" i="1" s="1"/>
  <c r="B4" i="1"/>
  <c r="B3" i="1" s="1"/>
  <c r="AO36" i="1"/>
  <c r="AP36" i="1" s="1"/>
  <c r="AO35" i="1"/>
  <c r="AP35" i="1" s="1"/>
  <c r="AO34" i="1"/>
  <c r="AP34" i="1" s="1"/>
  <c r="AO33" i="1"/>
  <c r="AP33" i="1" s="1"/>
  <c r="AO32" i="1"/>
  <c r="AP32" i="1" s="1"/>
  <c r="AO31" i="1"/>
  <c r="AP31" i="1" s="1"/>
  <c r="AO30" i="1"/>
  <c r="AP30" i="1" s="1"/>
  <c r="AO29" i="1"/>
  <c r="AP29" i="1" s="1"/>
  <c r="AO28" i="1"/>
  <c r="AP28" i="1" s="1"/>
  <c r="AO27" i="1"/>
  <c r="AP27" i="1" s="1"/>
  <c r="AO26" i="1"/>
  <c r="AP26" i="1" s="1"/>
  <c r="AO25" i="1"/>
  <c r="AP25" i="1" s="1"/>
  <c r="AO24" i="1"/>
  <c r="AP24" i="1" s="1"/>
  <c r="AO23" i="1"/>
  <c r="AP23" i="1" s="1"/>
  <c r="AO22" i="1"/>
  <c r="AP22" i="1" s="1"/>
  <c r="AO20" i="1"/>
  <c r="AP20" i="1" s="1"/>
  <c r="AO19" i="1"/>
  <c r="AP19" i="1" s="1"/>
  <c r="AO18" i="1"/>
  <c r="AP18" i="1" s="1"/>
  <c r="AO17" i="1"/>
  <c r="AP17" i="1" s="1"/>
  <c r="AO16" i="1"/>
  <c r="AP16" i="1" s="1"/>
  <c r="AO15" i="1"/>
  <c r="AP15" i="1" s="1"/>
  <c r="AO14" i="1"/>
  <c r="AP14" i="1" s="1"/>
  <c r="AO13" i="1"/>
  <c r="AP13" i="1" s="1"/>
  <c r="AO12" i="1"/>
  <c r="AP12" i="1" s="1"/>
  <c r="AO11" i="1"/>
  <c r="AP11" i="1" s="1"/>
  <c r="AO10" i="1"/>
  <c r="AP10" i="1" s="1"/>
  <c r="AO9" i="1"/>
  <c r="AP9" i="1" s="1"/>
  <c r="AO8" i="1"/>
  <c r="AP8" i="1" s="1"/>
  <c r="AO7" i="1"/>
  <c r="AP7" i="1" s="1"/>
  <c r="AO6" i="1"/>
  <c r="AP6" i="1" s="1"/>
  <c r="AO5" i="1"/>
  <c r="AP5" i="1" s="1"/>
  <c r="AT4" i="1"/>
  <c r="AT3" i="1" s="1"/>
  <c r="AS4" i="1"/>
  <c r="AS3" i="1" s="1"/>
  <c r="AR4" i="1"/>
  <c r="AR3" i="1" s="1"/>
  <c r="AQ4" i="1"/>
  <c r="AQ3" i="1" s="1"/>
  <c r="AN4" i="1"/>
  <c r="AN3" i="1" s="1"/>
  <c r="AM4" i="1"/>
  <c r="AM3" i="1" s="1"/>
  <c r="CO4" i="1"/>
  <c r="CO3" i="1" s="1"/>
  <c r="CN4" i="1"/>
  <c r="CN3" i="1" s="1"/>
  <c r="CM4" i="1"/>
  <c r="CM3" i="1" s="1"/>
  <c r="CL4" i="1"/>
  <c r="CL3" i="1" s="1"/>
  <c r="CK4" i="1"/>
  <c r="CK3" i="1" s="1"/>
  <c r="CJ4" i="1"/>
  <c r="CJ3" i="1" s="1"/>
  <c r="CI4" i="1"/>
  <c r="CI3" i="1" s="1"/>
  <c r="CH4" i="1"/>
  <c r="CH3" i="1" s="1"/>
  <c r="AF36" i="1"/>
  <c r="AG36" i="1" s="1"/>
  <c r="AF35" i="1"/>
  <c r="AG35" i="1" s="1"/>
  <c r="AF34" i="1"/>
  <c r="AG34" i="1" s="1"/>
  <c r="AF33" i="1"/>
  <c r="AG33" i="1" s="1"/>
  <c r="AF32" i="1"/>
  <c r="AG32" i="1" s="1"/>
  <c r="AF31" i="1"/>
  <c r="AG31" i="1" s="1"/>
  <c r="AF30" i="1"/>
  <c r="AG30" i="1" s="1"/>
  <c r="AF29" i="1"/>
  <c r="AG29" i="1" s="1"/>
  <c r="AF28" i="1"/>
  <c r="AG28" i="1" s="1"/>
  <c r="AF27" i="1"/>
  <c r="AG27" i="1" s="1"/>
  <c r="AF26" i="1"/>
  <c r="AG26" i="1" s="1"/>
  <c r="AF25" i="1"/>
  <c r="AG25" i="1" s="1"/>
  <c r="AF24" i="1"/>
  <c r="AG24" i="1" s="1"/>
  <c r="AF23" i="1"/>
  <c r="AG23" i="1" s="1"/>
  <c r="AF22" i="1"/>
  <c r="AG22" i="1" s="1"/>
  <c r="AF20" i="1"/>
  <c r="AG20" i="1" s="1"/>
  <c r="AF19" i="1"/>
  <c r="AG19" i="1" s="1"/>
  <c r="AF18" i="1"/>
  <c r="AG18" i="1" s="1"/>
  <c r="AF17" i="1"/>
  <c r="AG17" i="1" s="1"/>
  <c r="AF16" i="1"/>
  <c r="AG16" i="1" s="1"/>
  <c r="AF15" i="1"/>
  <c r="AG15" i="1" s="1"/>
  <c r="AF14" i="1"/>
  <c r="AG14" i="1" s="1"/>
  <c r="AF13" i="1"/>
  <c r="AG13" i="1" s="1"/>
  <c r="AF12" i="1"/>
  <c r="AG12" i="1" s="1"/>
  <c r="AF11" i="1"/>
  <c r="AG11" i="1" s="1"/>
  <c r="AF10" i="1"/>
  <c r="AG10" i="1" s="1"/>
  <c r="AF9" i="1"/>
  <c r="AG9" i="1" s="1"/>
  <c r="AF8" i="1"/>
  <c r="AG8" i="1" s="1"/>
  <c r="AF7" i="1"/>
  <c r="AG7" i="1" s="1"/>
  <c r="AF6" i="1"/>
  <c r="AG6" i="1" s="1"/>
  <c r="AF5" i="1"/>
  <c r="AG5" i="1" s="1"/>
  <c r="AX7" i="5" l="1"/>
  <c r="AY7" i="5" s="1"/>
  <c r="AX12" i="5"/>
  <c r="AY12" i="5" s="1"/>
  <c r="AX23" i="5"/>
  <c r="AY23" i="5" s="1"/>
  <c r="AX33" i="5"/>
  <c r="AY33" i="5" s="1"/>
  <c r="AX19" i="5"/>
  <c r="AY19" i="5" s="1"/>
  <c r="AX24" i="5"/>
  <c r="AY24" i="5" s="1"/>
  <c r="BB33" i="5"/>
  <c r="AX28" i="5"/>
  <c r="AY28" i="5" s="1"/>
  <c r="AX11" i="5"/>
  <c r="AY11" i="5" s="1"/>
  <c r="BH28" i="5"/>
  <c r="AX6" i="5"/>
  <c r="AY6" i="5" s="1"/>
  <c r="AX13" i="5"/>
  <c r="AY13" i="5" s="1"/>
  <c r="AX18" i="5"/>
  <c r="AY18" i="5" s="1"/>
  <c r="AX25" i="5"/>
  <c r="AY25" i="5" s="1"/>
  <c r="AX30" i="5"/>
  <c r="AY30" i="5" s="1"/>
  <c r="AX9" i="5"/>
  <c r="AY9" i="5" s="1"/>
  <c r="AX16" i="5"/>
  <c r="AY16" i="5" s="1"/>
  <c r="AX21" i="5"/>
  <c r="AY21" i="5" s="1"/>
  <c r="AX14" i="5"/>
  <c r="AY14" i="5" s="1"/>
  <c r="AX26" i="5"/>
  <c r="AY26" i="5" s="1"/>
  <c r="AX5" i="5"/>
  <c r="AY5" i="5" s="1"/>
  <c r="BB14" i="5"/>
  <c r="AX17" i="5"/>
  <c r="AY17" i="5" s="1"/>
  <c r="BB26" i="5"/>
  <c r="AX29" i="5"/>
  <c r="AY29" i="5" s="1"/>
  <c r="AX31" i="5"/>
  <c r="AY31" i="5" s="1"/>
  <c r="AX3" i="5"/>
  <c r="AY3" i="5" s="1"/>
  <c r="AX10" i="5"/>
  <c r="AY10" i="5" s="1"/>
  <c r="AX15" i="5"/>
  <c r="AY15" i="5" s="1"/>
  <c r="AX22" i="5"/>
  <c r="AY22" i="5" s="1"/>
  <c r="AX27" i="5"/>
  <c r="AY27" i="5" s="1"/>
  <c r="AX34" i="5"/>
  <c r="AY34" i="5" s="1"/>
  <c r="BH10" i="5"/>
  <c r="BB15" i="5"/>
  <c r="AX8" i="5"/>
  <c r="AY8" i="5" s="1"/>
  <c r="AX20" i="5"/>
  <c r="AY20" i="5" s="1"/>
  <c r="AX32" i="5"/>
  <c r="AY32" i="5" s="1"/>
  <c r="BB8" i="5"/>
  <c r="BB20" i="5"/>
  <c r="BB19" i="5"/>
  <c r="BB25" i="5"/>
  <c r="BB31" i="5"/>
  <c r="AX4" i="5"/>
  <c r="BB13" i="5"/>
  <c r="BB7" i="5"/>
  <c r="BM4" i="1"/>
  <c r="BL4" i="1"/>
  <c r="BL3" i="1" s="1"/>
  <c r="BM3" i="1"/>
  <c r="CC4" i="1"/>
  <c r="CC3" i="1" s="1"/>
  <c r="CB4" i="1"/>
  <c r="CB3" i="1" s="1"/>
  <c r="BV4" i="1"/>
  <c r="BV3" i="1" s="1"/>
  <c r="BU4" i="1"/>
  <c r="BU3" i="1" s="1"/>
  <c r="BO4" i="1"/>
  <c r="BP8" i="1"/>
  <c r="BO3" i="1"/>
  <c r="BP4" i="1"/>
  <c r="BP3" i="1" s="1"/>
  <c r="BD4" i="1"/>
  <c r="BD3" i="1" s="1"/>
  <c r="BE35" i="1"/>
  <c r="BE4" i="1" s="1"/>
  <c r="BE3" i="1" s="1"/>
  <c r="Q4" i="1"/>
  <c r="Q3" i="1" s="1"/>
  <c r="P4" i="1"/>
  <c r="P3" i="1" s="1"/>
  <c r="K4" i="1"/>
  <c r="K3" i="1" s="1"/>
  <c r="J4" i="1"/>
  <c r="J3" i="1" s="1"/>
  <c r="AW4" i="1"/>
  <c r="AW3" i="1" s="1"/>
  <c r="AV4" i="1"/>
  <c r="AV3" i="1" s="1"/>
  <c r="D4" i="1"/>
  <c r="D3" i="1" s="1"/>
  <c r="C4" i="1"/>
  <c r="C3" i="1" s="1"/>
  <c r="AO4" i="1"/>
  <c r="AO3" i="1" s="1"/>
  <c r="AY4" i="5" l="1"/>
</calcChain>
</file>

<file path=xl/sharedStrings.xml><?xml version="1.0" encoding="utf-8"?>
<sst xmlns="http://schemas.openxmlformats.org/spreadsheetml/2006/main" count="565" uniqueCount="236">
  <si>
    <t>Province</t>
  </si>
  <si>
    <t>Total Water Resources (100 million cu.m)</t>
  </si>
  <si>
    <t>Surface Water Resources (100 million cu.m)</t>
  </si>
  <si>
    <t>Groundwater Resources (100 million cu.m)</t>
  </si>
  <si>
    <t>Overlapped Measurement (100 million cu.m)</t>
  </si>
  <si>
    <t>Per Capita Water Resources (cu.m/person)</t>
  </si>
  <si>
    <t>Water Supply (100 million cu.m)</t>
  </si>
  <si>
    <t>Surface Water Supply (100 million cu.m)</t>
  </si>
  <si>
    <t>Groundwater Supply (100 million cu.m)</t>
  </si>
  <si>
    <t>Non-conventional Water Supply (100 million cu.m)</t>
  </si>
  <si>
    <t>Water Use (100 million cu.m)</t>
  </si>
  <si>
    <t>Agriculture Use (100 million cu.m)</t>
  </si>
  <si>
    <t>Industry Use (100 million cu.m)</t>
  </si>
  <si>
    <t>Households &amp; Service Use (100 million cu.m)</t>
  </si>
  <si>
    <t>Artificial Eco-environment Use (100 million cu.m)</t>
  </si>
  <si>
    <t>Per Capita Water Use (cu.m/person)</t>
  </si>
  <si>
    <t>Cultivated Land (1000 hectares)</t>
  </si>
  <si>
    <t>Garden Land (1000 hectares)</t>
  </si>
  <si>
    <t>Forest Land (1000 hectares)</t>
  </si>
  <si>
    <t>Grassland (1000 hectares)</t>
  </si>
  <si>
    <t>Wetland (1000 hectares)</t>
  </si>
  <si>
    <t>Land for Urban/Rural/Industrial/Mining (1000 hectares)</t>
  </si>
  <si>
    <t>Land Used for Transport (1000 hectares)</t>
  </si>
  <si>
    <t>Land Used for Water/Water Conservancy (1000 hectares)</t>
  </si>
  <si>
    <t>Investment in Urban Env. Infra. (10,000 yuan)</t>
  </si>
  <si>
    <t>Gas Supply (10,000 yuan)</t>
  </si>
  <si>
    <t>Centralized Heating (10,000 yuan)</t>
  </si>
  <si>
    <t>Drainage Works (10,000 yuan)</t>
  </si>
  <si>
    <t>Gardening &amp; Greening (10,000 yuan)</t>
  </si>
  <si>
    <t>Environmental Sanitation (10,000 yuan)</t>
  </si>
  <si>
    <t>Irrigated Area of Cultivated Land (1000 hectares)</t>
  </si>
  <si>
    <t>Consumption of Chemical Fertilizers (10,000 tons)</t>
  </si>
  <si>
    <t>Nitrogenous Fertilizer (10,000 tons)</t>
  </si>
  <si>
    <t>Phosphatic Fertilizer (10,000 tons)</t>
  </si>
  <si>
    <t>Potassic Fertilizer (10,000 tons)</t>
  </si>
  <si>
    <t>Compound Fertilizer (10,000 tons)</t>
  </si>
  <si>
    <t>Village Clinics (unit)</t>
  </si>
  <si>
    <t>Village-run (unit)</t>
  </si>
  <si>
    <t>Outlets of Township Health Centers (unit)</t>
  </si>
  <si>
    <t>Joint-run (unit)</t>
  </si>
  <si>
    <t>Private-run (unit)</t>
  </si>
  <si>
    <t>Others (unit)</t>
  </si>
  <si>
    <t>Investment Completed in Treatment of Industrial Pollution (10,000 yuan)</t>
  </si>
  <si>
    <t>Treatment of Wastewater (10,000 yuan)</t>
  </si>
  <si>
    <t>Treatment of Waste Gas (10,000 yuan)</t>
  </si>
  <si>
    <t>Treatment of Solid Waste (10,000 yuan)</t>
  </si>
  <si>
    <t>Treatment of Noise Pollution (10,000 yuan)</t>
  </si>
  <si>
    <t>Treatment of Other Pollution (10,000 yuan)</t>
  </si>
  <si>
    <t>Total Health Care Institutions (unit)</t>
  </si>
  <si>
    <t>General Hospitals (unit)</t>
  </si>
  <si>
    <t>Traditional Chinese Medicine Hospitals (unit)</t>
  </si>
  <si>
    <t>Specialized Hospitals (unit)</t>
  </si>
  <si>
    <t>Health Care Institutions at Grass-root Level (unit)</t>
  </si>
  <si>
    <t>Community Health Service Centers (Stations) (unit)</t>
  </si>
  <si>
    <t>Township Health Centers (unit)</t>
  </si>
  <si>
    <t>Outpatient Departments (unit)</t>
  </si>
  <si>
    <t>Specialized Public Health Institutions (unit)</t>
  </si>
  <si>
    <t>Centers for Disease Control (unit)</t>
  </si>
  <si>
    <t>Specialized Disease Prevention &amp; Treatment Institutions (unit)</t>
  </si>
  <si>
    <t>Maternal and Children Care Centers (unit)</t>
  </si>
  <si>
    <t>Health Inspection Institutions (Centers) (unit)</t>
  </si>
  <si>
    <t>COD (ton)</t>
  </si>
  <si>
    <t>Ammonia Nitrogen (ton)</t>
  </si>
  <si>
    <t>Total Nitrogen (ton)</t>
  </si>
  <si>
    <t>Total Phosphorus (ton)</t>
  </si>
  <si>
    <t>Petroleum (ton)</t>
  </si>
  <si>
    <t>Volatile Phenol (kg)</t>
  </si>
  <si>
    <t>Cyanide (kg)</t>
  </si>
  <si>
    <t>Heavy Metals (kg)</t>
  </si>
  <si>
    <t>National Total</t>
  </si>
  <si>
    <t>Beijing</t>
  </si>
  <si>
    <t>—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</si>
  <si>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</si>
  <si>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</si>
  <si>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</si>
  <si>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</si>
  <si>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</si>
  <si>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</si>
  <si>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</si>
  <si>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</si>
  <si>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</si>
  <si>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</si>
  <si>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</si>
  <si>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</si>
  <si>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</si>
  <si>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</si>
  <si>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</si>
  <si>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</si>
  <si>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</si>
  <si>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</si>
  <si>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</si>
  <si>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</si>
  <si>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</si>
  <si>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</si>
  <si>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</si>
  <si>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</si>
  <si>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</si>
  <si>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</si>
  <si>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</si>
  <si>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</si>
  <si>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</si>
  <si>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</si>
  <si>
    <r>
      <rPr>
        <sz val="12"/>
        <color rgb="FF1D1D1F"/>
        <rFont val="宋体"/>
        <family val="2"/>
        <scheme val="minor"/>
      </rPr>
      <t xml:space="preserve">Here is the </t>
    </r>
    <r>
      <rPr>
        <sz val="12"/>
        <color rgb="FF1D1D1F"/>
        <rFont val="宋体"/>
        <family val="2"/>
        <scheme val="minor"/>
      </rPr>
      <t>fully consolidated, verified table for all 31 provinces and autonomous regions for the year 2024</t>
    </r>
    <r>
      <rPr>
        <sz val="12"/>
        <color rgb="FF1D1D1F"/>
        <rFont val="宋体"/>
        <family val="2"/>
        <scheme val="minor"/>
      </rPr>
      <t xml:space="preserve">, incorporating data from </t>
    </r>
    <r>
      <rPr>
        <sz val="12"/>
        <color rgb="FF1D1D1F"/>
        <rFont val="宋体"/>
        <family val="2"/>
        <scheme val="minor"/>
      </rPr>
      <t>all provided images</t>
    </r>
    <r>
      <rPr>
        <sz val="12"/>
        <color rgb="FF1D1D1F"/>
        <rFont val="宋体"/>
        <family val="2"/>
        <scheme val="minor"/>
      </rPr>
      <t>.</t>
    </r>
  </si>
  <si>
    <t>This table includes:</t>
  </si>
  <si>
    <t>Water Resources (8-8)</t>
  </si>
  <si>
    <t>Water Supply and Water Use (8-9)</t>
  </si>
  <si>
    <r>
      <rPr>
        <sz val="12"/>
        <color rgb="FF1D1D1F"/>
        <rFont val="宋体"/>
        <family val="2"/>
        <scheme val="minor"/>
      </rPr>
      <t xml:space="preserve">Area of Cultivated Land (8-19) — </t>
    </r>
    <r>
      <rPr>
        <i/>
        <sz val="12"/>
        <color rgb="FF1D1D1F"/>
        <rFont val="宋体"/>
        <family val="2"/>
        <scheme val="minor"/>
      </rPr>
      <t>using 2023 as proxy</t>
    </r>
  </si>
  <si>
    <r>
      <rPr>
        <sz val="12"/>
        <color rgb="FF1D1D1F"/>
        <rFont val="宋体"/>
        <family val="2"/>
        <scheme val="minor"/>
      </rPr>
      <t xml:space="preserve">Land Use by Region (8-20) — </t>
    </r>
    <r>
      <rPr>
        <i/>
        <sz val="12"/>
        <color rgb="FF1D1D1F"/>
        <rFont val="宋体"/>
        <family val="2"/>
        <scheme val="minor"/>
      </rPr>
      <t>using 2023 as proxy</t>
    </r>
  </si>
  <si>
    <t>Investment in Urban Environmental Infrastructure (8-33)</t>
  </si>
  <si>
    <t>Irrigated Area of Cultivated Land and Consumption of Chemical Fertilizers (12-5)</t>
  </si>
  <si>
    <t>Statistics on Village Clinics (22-4)</t>
  </si>
  <si>
    <t>Investment Completed in the Treatment of Industrial Pollution (8-34)</t>
  </si>
  <si>
    <t>Health Care Institutions (22-1)</t>
  </si>
  <si>
    <r>
      <rPr>
        <sz val="12"/>
        <color rgb="FF1D1D1F"/>
        <rFont val="宋体"/>
        <family val="2"/>
        <scheme val="minor"/>
      </rPr>
      <t>Cultivated Land &amp; Land Use</t>
    </r>
    <r>
      <rPr>
        <sz val="12"/>
        <color rgb="FF1D1D1F"/>
        <rFont val="宋体"/>
        <family val="2"/>
        <scheme val="minor"/>
      </rPr>
      <t>: Data for 2024 not available; used 2023 values as proxy.</t>
    </r>
  </si>
  <si>
    <r>
      <rPr>
        <sz val="12"/>
        <color rgb="FF1D1D1F"/>
        <rFont val="宋体"/>
        <family val="2"/>
        <scheme val="minor"/>
      </rPr>
      <t>Water Resources</t>
    </r>
    <r>
      <rPr>
        <sz val="12"/>
        <color rgb="FF1D1D1F"/>
        <rFont val="宋体"/>
        <family val="2"/>
        <scheme val="minor"/>
      </rPr>
      <t>: For 2024, the overlap quantification was revised to non-overlapping volume of groundwater relative to surface water resources (as per footnote).</t>
    </r>
  </si>
  <si>
    <r>
      <rPr>
        <sz val="12"/>
        <color rgb="FF1D1D1F"/>
        <rFont val="宋体"/>
        <family val="2"/>
        <scheme val="minor"/>
      </rPr>
      <t>Water Supply &amp; Use</t>
    </r>
    <r>
      <rPr>
        <sz val="12"/>
        <color rgb="FF1D1D1F"/>
        <rFont val="宋体"/>
        <family val="2"/>
        <scheme val="minor"/>
      </rPr>
      <t>: Since 2024, water supply from other sources has been reclassified as non-conventional water sources (as per footnote).</t>
    </r>
  </si>
  <si>
    <t>Main Pollutant Contents Discharged in Wastewater by Region (2024)</t>
  </si>
  <si>
    <t>Province</t>
    <phoneticPr fontId="7" type="noConversion"/>
  </si>
  <si>
    <t>Провинция</t>
    <phoneticPr fontId="7" type="noConversion"/>
  </si>
  <si>
    <t>Общие водные ресурсы (100 млн. куб.м)</t>
    <phoneticPr fontId="7" type="noConversion"/>
  </si>
  <si>
    <t>Ресурсы поверхностных вод (100 млн. куб.м)</t>
    <phoneticPr fontId="7" type="noConversion"/>
  </si>
  <si>
    <t>Ресурсы подземных вод (100 млн. куб.м)</t>
    <phoneticPr fontId="7" type="noConversion"/>
  </si>
  <si>
    <t>Измерение с перекрытием (100 миллионов кубометров)</t>
    <phoneticPr fontId="7" type="noConversion"/>
  </si>
  <si>
    <r>
      <t xml:space="preserve">
</t>
    </r>
    <r>
      <rPr>
        <sz val="11"/>
        <color theme="1"/>
        <rFont val="Calibri"/>
        <family val="2"/>
      </rPr>
      <t>Водные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Calibri"/>
        <family val="2"/>
      </rPr>
      <t>ресурсы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Calibri"/>
        <family val="2"/>
      </rPr>
      <t>на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Calibri"/>
        <family val="2"/>
      </rPr>
      <t>душу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Calibri"/>
        <family val="2"/>
      </rPr>
      <t>населения</t>
    </r>
    <r>
      <rPr>
        <sz val="11"/>
        <color theme="1"/>
        <rFont val="宋体"/>
        <charset val="134"/>
        <scheme val="minor"/>
      </rPr>
      <t xml:space="preserve"> (</t>
    </r>
    <r>
      <rPr>
        <sz val="11"/>
        <color theme="1"/>
        <rFont val="Calibri"/>
        <family val="2"/>
      </rPr>
      <t>куб</t>
    </r>
    <r>
      <rPr>
        <sz val="11"/>
        <color theme="1"/>
        <rFont val="宋体"/>
        <charset val="134"/>
        <scheme val="minor"/>
      </rPr>
      <t>.</t>
    </r>
    <r>
      <rPr>
        <sz val="11"/>
        <color theme="1"/>
        <rFont val="Calibri"/>
        <family val="2"/>
      </rPr>
      <t>м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Calibri"/>
        <family val="2"/>
      </rPr>
      <t>чел</t>
    </r>
    <r>
      <rPr>
        <sz val="11"/>
        <color theme="1"/>
        <rFont val="宋体"/>
        <charset val="134"/>
        <scheme val="minor"/>
      </rPr>
      <t>.)</t>
    </r>
    <phoneticPr fontId="7" type="noConversion"/>
  </si>
  <si>
    <t>Водоснабжение (100 млн. куб.м)</t>
    <phoneticPr fontId="7" type="noConversion"/>
  </si>
  <si>
    <t>Водоснабжение поверхностными водами (100 млн. куб.м)</t>
    <phoneticPr fontId="7" type="noConversion"/>
  </si>
  <si>
    <t>Запас подземных вод (100 млн. куб.м)</t>
    <phoneticPr fontId="7" type="noConversion"/>
  </si>
  <si>
    <t>Нетрадиционное водоснабжение (100 млн. куб.м)</t>
    <phoneticPr fontId="7" type="noConversion"/>
  </si>
  <si>
    <t>Тяжелые металлы (кг)</t>
    <phoneticPr fontId="7" type="noConversion"/>
  </si>
  <si>
    <t>Цианид (кг)</t>
    <phoneticPr fontId="7" type="noConversion"/>
  </si>
  <si>
    <t>Летучий фенол (кг)</t>
    <phoneticPr fontId="7" type="noConversion"/>
  </si>
  <si>
    <t>Нефть (тонна)</t>
    <phoneticPr fontId="7" type="noConversion"/>
  </si>
  <si>
    <t>Total Phosphorus (ton)</t>
    <phoneticPr fontId="7" type="noConversion"/>
  </si>
  <si>
    <t>Общее количество азота (тонна)</t>
    <phoneticPr fontId="7" type="noConversion"/>
  </si>
  <si>
    <t>Аммиачный азот (тонна)</t>
    <phoneticPr fontId="7" type="noConversion"/>
  </si>
  <si>
    <t>Водопользование (100 млн. куб.м)</t>
    <phoneticPr fontId="7" type="noConversion"/>
  </si>
  <si>
    <t>Сельскохозяйственное использование (100 млн. куб.м)</t>
    <phoneticPr fontId="7" type="noConversion"/>
  </si>
  <si>
    <t>Промышленное использование (100 млн куб.м)</t>
    <phoneticPr fontId="7" type="noConversion"/>
  </si>
  <si>
    <t>Домохозяйства и использование услуг (100 млн. куб.м)</t>
    <phoneticPr fontId="7" type="noConversion"/>
  </si>
  <si>
    <t>Использование искусственной экологической среды (100 млн. куб.м)</t>
    <phoneticPr fontId="7" type="noConversion"/>
  </si>
  <si>
    <t>Потребление воды на душу населения (куб.м/чел.)</t>
    <phoneticPr fontId="7" type="noConversion"/>
  </si>
  <si>
    <t>Обрабатываемая земля (1000 га)</t>
    <phoneticPr fontId="7" type="noConversion"/>
  </si>
  <si>
    <t>Садовый участок (1000 га)</t>
    <phoneticPr fontId="7" type="noConversion"/>
  </si>
  <si>
    <t>Лесные угодья (1000 га)</t>
    <phoneticPr fontId="7" type="noConversion"/>
  </si>
  <si>
    <t>Пастбища (1000 гектаров)</t>
    <phoneticPr fontId="7" type="noConversion"/>
  </si>
  <si>
    <t>Водно-болотные угодья (1000 га)</t>
    <phoneticPr fontId="7" type="noConversion"/>
  </si>
  <si>
    <t>Земля для городских/сельских/промышленных/горнодобывающих предприятий (1000 га)</t>
    <phoneticPr fontId="7" type="noConversion"/>
  </si>
  <si>
    <t>Земля, используемая для транспорта (1000 га)</t>
    <phoneticPr fontId="7" type="noConversion"/>
  </si>
  <si>
    <t>Земля, используемая для водоснабжения/водоохранных целей (1000 га)</t>
    <phoneticPr fontId="7" type="noConversion"/>
  </si>
  <si>
    <t>Инвестиции в городскую инфраструктуру. Ниже. (10 000 юаней)</t>
    <phoneticPr fontId="7" type="noConversion"/>
  </si>
  <si>
    <t>Газоснабжение (10 000 юаней)</t>
  </si>
  <si>
    <t>Газоснабжение (10 000 юаней)</t>
    <phoneticPr fontId="7" type="noConversion"/>
  </si>
  <si>
    <t>Централизованное отопление (10 000 юаней)</t>
    <phoneticPr fontId="7" type="noConversion"/>
  </si>
  <si>
    <t>Дренажные работы (10 000 юаней)</t>
    <phoneticPr fontId="7" type="noConversion"/>
  </si>
  <si>
    <t>Садоводство и озеленение (10 000 юаней)</t>
    <phoneticPr fontId="7" type="noConversion"/>
  </si>
  <si>
    <t>Экологическая чистота (10 000 юаней)</t>
    <phoneticPr fontId="7" type="noConversion"/>
  </si>
  <si>
    <t>Орошаемая площадь обрабатываемых земель (1000 га)</t>
    <phoneticPr fontId="7" type="noConversion"/>
  </si>
  <si>
    <t>Потребление химических удобрений (10 000 тонн)</t>
    <phoneticPr fontId="7" type="noConversion"/>
  </si>
  <si>
    <t>Азотные удобрения (10 000 тонн)</t>
    <phoneticPr fontId="7" type="noConversion"/>
  </si>
  <si>
    <t>Фосфорные удобрения (10 000 тонн)</t>
    <phoneticPr fontId="7" type="noConversion"/>
  </si>
  <si>
    <t>Калийные удобрения (10 000 тонн)</t>
    <phoneticPr fontId="7" type="noConversion"/>
  </si>
  <si>
    <t>Комплексное удобрение (10 000 тонн)</t>
    <phoneticPr fontId="7" type="noConversion"/>
  </si>
  <si>
    <t>Сельские клиники (единица)</t>
    <phoneticPr fontId="7" type="noConversion"/>
  </si>
  <si>
    <t>Управление деревней (единица измерения)</t>
    <phoneticPr fontId="7" type="noConversion"/>
  </si>
  <si>
    <t>Филиалы поселковых медицинских центров (единица)</t>
    <phoneticPr fontId="7" type="noConversion"/>
  </si>
  <si>
    <t>Совместный запуск (единица измерения)</t>
    <phoneticPr fontId="7" type="noConversion"/>
  </si>
  <si>
    <t>Частное управление (подразделение)</t>
    <phoneticPr fontId="7" type="noConversion"/>
  </si>
  <si>
    <t>Другие (единица измерения)</t>
    <phoneticPr fontId="7" type="noConversion"/>
  </si>
  <si>
    <t>Завершены инвестиции в очистку от промышленного загрязнения (10 000 юаней)</t>
    <phoneticPr fontId="7" type="noConversion"/>
  </si>
  <si>
    <r>
      <rPr>
        <sz val="11"/>
        <color theme="1"/>
        <rFont val="Calibri"/>
        <charset val="204"/>
      </rPr>
      <t>Очистка</t>
    </r>
    <r>
      <rPr>
        <sz val="11"/>
        <color theme="1"/>
        <rFont val="Calibri"/>
      </rPr>
      <t xml:space="preserve"> </t>
    </r>
    <r>
      <rPr>
        <sz val="11"/>
        <color theme="1"/>
        <rFont val="Calibri"/>
        <charset val="204"/>
      </rPr>
      <t>сточных</t>
    </r>
    <r>
      <rPr>
        <sz val="11"/>
        <color theme="1"/>
        <rFont val="Calibri"/>
      </rPr>
      <t xml:space="preserve"> </t>
    </r>
    <r>
      <rPr>
        <sz val="11"/>
        <color theme="1"/>
        <rFont val="Calibri"/>
        <charset val="204"/>
      </rPr>
      <t>вод</t>
    </r>
    <r>
      <rPr>
        <sz val="11"/>
        <color theme="1"/>
        <rFont val="Calibri"/>
      </rPr>
      <t xml:space="preserve"> (10 000 </t>
    </r>
    <r>
      <rPr>
        <sz val="11"/>
        <color theme="1"/>
        <rFont val="Calibri"/>
        <charset val="204"/>
      </rPr>
      <t>юаней</t>
    </r>
    <r>
      <rPr>
        <sz val="11"/>
        <color theme="1"/>
        <rFont val="Calibri"/>
      </rPr>
      <t>)</t>
    </r>
    <phoneticPr fontId="7" type="noConversion"/>
  </si>
  <si>
    <t>Учреждения (центры) медицинского освидетельствования (единица измерения)</t>
    <phoneticPr fontId="7" type="noConversion"/>
  </si>
  <si>
    <t>Химическое потребление кислорода (тонна)</t>
    <phoneticPr fontId="7" type="noConversion"/>
  </si>
  <si>
    <t>Maternal and Children Care Centers (unit)</t>
    <phoneticPr fontId="7" type="noConversion"/>
  </si>
  <si>
    <t>Провинция / Регион</t>
  </si>
  <si>
    <t>Общие водные ресурсы (100 млн куб. м)</t>
  </si>
  <si>
    <t>Поверхностные водные ресурсы (100 млн куб. м)</t>
  </si>
  <si>
    <t>Подземные водные ресурсы (100 млн куб. м)</t>
  </si>
  <si>
    <t>Повторно учитываемый объем (100 млн куб. м)</t>
  </si>
  <si>
    <t>Водообеспеченность на душу населения (куб. м/чел.)</t>
  </si>
  <si>
    <t>Водоподача (100 млн куб. м)</t>
  </si>
  <si>
    <t>Водоподача из поверхностных источников (100 млн куб. м)</t>
  </si>
  <si>
    <t>Водоподача из подземных источников (100 млн куб. м)</t>
  </si>
  <si>
    <t>Водоподача из нетрадиционных источников (100 млн куб. м)</t>
  </si>
  <si>
    <t>Водопотребление (100 млн куб. м)</t>
  </si>
  <si>
    <t>Использование в сельском хозяйстве (100 млн куб. м)</t>
  </si>
  <si>
    <t>Использование в промышленности (100 млн куб. м)</t>
  </si>
  <si>
    <t>Использование в бытовом и сервисном секторе (100 млн куб. м)</t>
  </si>
  <si>
    <t>Использование для искусственной экологической среды (100 млн куб. м)</t>
  </si>
  <si>
    <t>Водопотребление на душу населения (куб. м/чел.)</t>
  </si>
  <si>
    <t>Пашня / Обрабатываемые земли (1000 га)</t>
  </si>
  <si>
    <t>Садово-огородные земли (1000 га)</t>
  </si>
  <si>
    <t>Лесные земли (1000 га)</t>
  </si>
  <si>
    <t>Пастбищные земли (1000 га)</t>
  </si>
  <si>
    <t>Заболоченные земли / Водно-болотные угодья (1000 га)</t>
  </si>
  <si>
    <t>Земли населенных пунктов, промышленности и горных выработок (1000 га)</t>
  </si>
  <si>
    <t>Земли транспорта (1000 га)</t>
  </si>
  <si>
    <t>Земли водного фонда / Гидротехнических сооружений (1000 га)</t>
  </si>
  <si>
    <t>Инвестиции в городскую инфраструктуру охраны окружающей среды (10 000 юаней)</t>
  </si>
  <si>
    <t>Централизованное теплоснабжение (10 000 юаней)</t>
  </si>
  <si>
    <t>Дренажные / Водоотводные сооружения (10 000 юаней)</t>
  </si>
  <si>
    <t>Садово-парковое хозяйство и озеленение (10 000 юаней)</t>
  </si>
  <si>
    <t>Санитарная очистка территории (10 000 юаней)</t>
  </si>
  <si>
    <t>Орошаемая площадь пахотных земель (1000 га)</t>
  </si>
  <si>
    <t>Потребление химических удобрений (10 000 т)</t>
  </si>
  <si>
    <t>Азотные удобрения (10 000 т)</t>
  </si>
  <si>
    <t>Фосфорные удобрения (10 000 т)</t>
  </si>
  <si>
    <t>Калийные удобрения (10 000 т)</t>
  </si>
  <si>
    <t>Комплексные / Сложные удобрения (10 000 т)</t>
  </si>
  <si>
    <t>Сельские клиники / Фельдшерско-акушерские пункты (ед.)</t>
  </si>
  <si>
    <t>Находящиеся в ведении деревни (ед.)</t>
  </si>
  <si>
    <t>Филиалы поселковых здравпунктов (ед.)</t>
  </si>
  <si>
    <t>Находящиеся в совместном ведении (ед.)</t>
  </si>
  <si>
    <t>Частные (ед.)</t>
  </si>
  <si>
    <t>Прочие (ед.)</t>
  </si>
  <si>
    <t>Инвестиции в очистку промышленного загрязнения (10 000 юаней)</t>
  </si>
  <si>
    <t>Очистка сточных вод (10 000 юаней)</t>
  </si>
  <si>
    <t>Очистка отходящих газов (10 000 юаней)</t>
  </si>
  <si>
    <t>Переработка твердых отходов (10 000 юаней)</t>
  </si>
  <si>
    <t>Борьба с шумовым загрязнением (10 000 юаней)</t>
  </si>
  <si>
    <t>Очистка от других видов загрязнения (10 000 юаней)</t>
  </si>
  <si>
    <t>Всего медицинских учреждений (ед.)</t>
  </si>
  <si>
    <t>Многопрофильные больницы общего типа (ед.)</t>
  </si>
  <si>
    <t>Больницы традиционной китайской медицины (ед.)</t>
  </si>
  <si>
    <t>ddd0ffca8a80ce0e5a2667710092f8d</t>
    <phoneticPr fontId="7" type="noConversion"/>
  </si>
  <si>
    <t>bb58c40f89fcf0fe686797fe8554631</t>
    <phoneticPr fontId="7" type="noConversion"/>
  </si>
  <si>
    <t>5485b776d83fe5f78b17763dafee4c9</t>
    <phoneticPr fontId="7" type="noConversion"/>
  </si>
  <si>
    <t>971ca94dd5c1c5393ca5ebcdc5c8b54</t>
  </si>
  <si>
    <t>58e2a590fdee8fea1447579fa465683</t>
  </si>
  <si>
    <t>40e03ebac83b82676a269c462af5df6</t>
    <phoneticPr fontId="7" type="noConversion"/>
  </si>
  <si>
    <t>5dd0f2da4fb848d918ffd0c7d0049e0</t>
    <phoneticPr fontId="7" type="noConversion"/>
  </si>
  <si>
    <r>
      <t xml:space="preserve">Total </t>
    </r>
    <r>
      <rPr>
        <sz val="11"/>
        <color rgb="FFFF0000"/>
        <rFont val="宋体"/>
        <scheme val="minor"/>
      </rPr>
      <t>Health Care Institutions</t>
    </r>
    <r>
      <rPr>
        <sz val="11"/>
        <color theme="1"/>
        <rFont val="宋体"/>
        <charset val="134"/>
        <scheme val="minor"/>
      </rPr>
      <t xml:space="preserve"> (unit)</t>
    </r>
    <phoneticPr fontId="7" type="noConversion"/>
  </si>
  <si>
    <r>
      <rPr>
        <sz val="11"/>
        <color rgb="FFFF0000"/>
        <rFont val="宋体"/>
        <scheme val="minor"/>
      </rPr>
      <t>General</t>
    </r>
    <r>
      <rPr>
        <sz val="11"/>
        <color theme="1"/>
        <rFont val="宋体"/>
        <charset val="134"/>
        <scheme val="minor"/>
      </rPr>
      <t xml:space="preserve"> Hospitals (unit)</t>
    </r>
    <phoneticPr fontId="7" type="noConversion"/>
  </si>
  <si>
    <t>1e5cc8c225ca4228fb7e40bf45649e3</t>
    <phoneticPr fontId="7" type="noConversion"/>
  </si>
  <si>
    <t>.+\-</t>
    <phoneticPr fontId="7" type="noConversion"/>
  </si>
  <si>
    <t>моя сумма</t>
    <phoneticPr fontId="7" type="noConversion"/>
  </si>
  <si>
    <t>2023 dca63b6b6b676ea0ec4570487c3353a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</si>
</sst>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4" formatCode="0.00_ ;[Red]\-0.00\ "/>
    <numFmt numFmtId="187" formatCode="0.0_ ;[Red]\-0.0\ "/>
  </numFmts>
  <fonts count="12">
    <font>
      <sz val="11"/>
      <color theme="1"/>
      <name val="宋体"/>
      <charset val="134"/>
      <scheme val="minor"/>
    </font>
    <font>
      <sz val="12"/>
      <color rgb="FF1D1D1F"/>
      <name val="宋体"/>
      <family val="2"/>
      <scheme val="minor"/>
    </font>
    <font>
      <sz val="14.05"/>
      <color rgb="FF1D1D1F"/>
      <name val="宋体"/>
      <family val="2"/>
      <scheme val="minor"/>
    </font>
    <font>
      <sz val="11"/>
      <color rgb="FFFF0000"/>
      <name val="宋体"/>
      <scheme val="minor"/>
    </font>
    <font>
      <b/>
      <sz val="11"/>
      <color theme="1"/>
      <name val="宋体"/>
      <scheme val="minor"/>
    </font>
    <font>
      <sz val="11"/>
      <color theme="1"/>
      <name val="宋体"/>
      <scheme val="minor"/>
    </font>
    <font>
      <i/>
      <sz val="12"/>
      <color rgb="FF1D1D1F"/>
      <name val="宋体"/>
      <family val="2"/>
      <scheme val="minor"/>
    </font>
    <font>
      <sz val="9"/>
      <name val="宋体"/>
      <scheme val="minor"/>
    </font>
    <font>
      <sz val="11"/>
      <color theme="1"/>
      <name val="Calibri"/>
      <family val="2"/>
    </font>
    <font>
      <sz val="11"/>
      <color theme="1"/>
      <name val="Calibri"/>
      <charset val="204"/>
    </font>
    <font>
      <sz val="11"/>
      <color theme="1"/>
      <name val="Calibri"/>
    </font>
    <font>
      <sz val="9"/>
      <color rgb="FF0F1115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187" fontId="0" fillId="2" borderId="0" xfId="0" applyNumberFormat="1" applyFill="1" applyAlignment="1">
      <alignment vertical="center" wrapText="1"/>
    </xf>
    <xf numFmtId="187" fontId="0" fillId="0" borderId="0" xfId="0" applyNumberFormat="1">
      <alignment vertical="center"/>
    </xf>
    <xf numFmtId="0" fontId="0" fillId="9" borderId="0" xfId="0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>
      <alignment vertical="center"/>
    </xf>
    <xf numFmtId="187" fontId="0" fillId="12" borderId="0" xfId="0" applyNumberFormat="1" applyFill="1">
      <alignment vertical="center"/>
    </xf>
    <xf numFmtId="184" fontId="0" fillId="12" borderId="0" xfId="0" applyNumberFormat="1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184" fontId="0" fillId="12" borderId="0" xfId="0" applyNumberFormat="1" applyFill="1">
      <alignment vertical="center"/>
    </xf>
    <xf numFmtId="0" fontId="0" fillId="5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187" fontId="0" fillId="0" borderId="0" xfId="0" applyNumberFormat="1" applyAlignment="1">
      <alignment vertical="center" wrapText="1"/>
    </xf>
    <xf numFmtId="187" fontId="0" fillId="12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11" borderId="0" xfId="0" applyFill="1">
      <alignment vertical="center"/>
    </xf>
    <xf numFmtId="0" fontId="5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9" borderId="0" xfId="0" applyFill="1" applyAlignment="1">
      <alignment horizontal="center" vertical="center"/>
    </xf>
    <xf numFmtId="0" fontId="3" fillId="7" borderId="0" xfId="0" applyFont="1" applyFill="1">
      <alignment vertical="center"/>
    </xf>
    <xf numFmtId="187" fontId="0" fillId="14" borderId="0" xfId="0" applyNumberFormat="1" applyFill="1">
      <alignment vertical="center"/>
    </xf>
    <xf numFmtId="0" fontId="0" fillId="14" borderId="0" xfId="0" applyFill="1">
      <alignment vertical="center"/>
    </xf>
    <xf numFmtId="0" fontId="8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3" borderId="1" xfId="0" applyFont="1" applyFill="1" applyBorder="1" applyAlignment="1">
      <alignment horizontal="right" vertical="center" wrapText="1"/>
    </xf>
    <xf numFmtId="0" fontId="8" fillId="7" borderId="2" xfId="0" applyFont="1" applyFill="1" applyBorder="1" applyAlignment="1">
      <alignment horizontal="right" vertical="center" wrapText="1"/>
    </xf>
    <xf numFmtId="0" fontId="5" fillId="7" borderId="2" xfId="0" applyFont="1" applyFill="1" applyBorder="1" applyAlignment="1">
      <alignment horizontal="right" vertical="center" wrapText="1"/>
    </xf>
    <xf numFmtId="0" fontId="0" fillId="13" borderId="2" xfId="0" applyFill="1" applyBorder="1" applyAlignment="1">
      <alignment horizontal="right" vertical="center" wrapText="1"/>
    </xf>
    <xf numFmtId="0" fontId="0" fillId="13" borderId="3" xfId="0" applyFill="1" applyBorder="1" applyAlignment="1">
      <alignment horizontal="right" vertical="center" wrapText="1"/>
    </xf>
    <xf numFmtId="0" fontId="0" fillId="13" borderId="1" xfId="0" applyFill="1" applyBorder="1" applyAlignment="1">
      <alignment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vertical="center" wrapText="1"/>
    </xf>
    <xf numFmtId="0" fontId="0" fillId="13" borderId="3" xfId="0" applyFill="1" applyBorder="1" applyAlignment="1">
      <alignment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F0E8-E1ED-451C-BA61-87E50FA7745C}">
  <sheetPr>
    <tabColor rgb="FF92D050"/>
  </sheetPr>
  <dimension ref="A1:CA34"/>
  <sheetViews>
    <sheetView tabSelected="1" topLeftCell="N1" zoomScale="50" zoomScaleNormal="50" workbookViewId="0">
      <selection activeCell="AJ41" sqref="AJ41"/>
    </sheetView>
  </sheetViews>
  <sheetFormatPr defaultColWidth="8.44140625" defaultRowHeight="14.4"/>
  <cols>
    <col min="1" max="1" width="28.88671875" customWidth="1"/>
    <col min="2" max="16" width="14.77734375" customWidth="1"/>
    <col min="17" max="17" width="20.5546875" customWidth="1"/>
    <col min="18" max="49" width="14.77734375" customWidth="1"/>
    <col min="50" max="50" width="13.6640625" hidden="1" customWidth="1"/>
    <col min="51" max="51" width="10.88671875" hidden="1" customWidth="1"/>
    <col min="52" max="52" width="14.77734375" customWidth="1"/>
    <col min="53" max="53" width="11.6640625" hidden="1" customWidth="1"/>
    <col min="54" max="54" width="9.33203125" hidden="1" customWidth="1"/>
    <col min="55" max="58" width="14.77734375" customWidth="1"/>
    <col min="59" max="59" width="14.77734375" hidden="1" customWidth="1"/>
    <col min="60" max="60" width="7.6640625" hidden="1" customWidth="1"/>
    <col min="61" max="65" width="14.77734375" customWidth="1"/>
    <col min="66" max="66" width="14.77734375" hidden="1" customWidth="1"/>
    <col min="67" max="67" width="10.33203125" hidden="1" customWidth="1"/>
    <col min="68" max="79" width="14.77734375" customWidth="1"/>
  </cols>
  <sheetData>
    <row r="1" spans="1:79" ht="116.4" customHeight="1">
      <c r="B1" s="14" t="s">
        <v>226</v>
      </c>
      <c r="C1" s="14"/>
      <c r="D1" s="14"/>
      <c r="E1" s="14"/>
      <c r="F1" s="14"/>
      <c r="G1" s="15" t="s">
        <v>228</v>
      </c>
      <c r="H1" s="14"/>
      <c r="I1" s="14"/>
      <c r="J1" s="14"/>
      <c r="K1" s="14"/>
      <c r="L1" s="14"/>
      <c r="M1" s="14"/>
      <c r="N1" s="14"/>
      <c r="O1" s="14"/>
      <c r="P1" s="14"/>
      <c r="Q1" s="49" t="s">
        <v>235</v>
      </c>
      <c r="R1" s="36"/>
      <c r="S1" s="36"/>
      <c r="T1" s="36"/>
      <c r="U1" s="36"/>
      <c r="V1" s="36"/>
      <c r="W1" s="36"/>
      <c r="X1" s="36"/>
      <c r="Y1" s="15" t="s">
        <v>223</v>
      </c>
      <c r="Z1" s="14"/>
      <c r="AA1" s="14"/>
      <c r="AB1" s="14"/>
      <c r="AC1" s="14"/>
      <c r="AD1" s="14"/>
      <c r="AE1" s="21" t="s">
        <v>225</v>
      </c>
      <c r="AF1" s="22"/>
      <c r="AG1" s="22"/>
      <c r="AH1" s="22"/>
      <c r="AI1" s="22"/>
      <c r="AJ1" s="22"/>
      <c r="AK1" s="14" t="s">
        <v>227</v>
      </c>
      <c r="AL1" s="14"/>
      <c r="AM1" s="14"/>
      <c r="AN1" s="14"/>
      <c r="AO1" s="14"/>
      <c r="AP1" s="14"/>
      <c r="AQ1" s="15" t="s">
        <v>229</v>
      </c>
      <c r="AR1" s="14"/>
      <c r="AS1" s="14"/>
      <c r="AT1" s="14"/>
      <c r="AU1" s="14"/>
      <c r="AV1" s="14"/>
      <c r="AW1" s="15" t="s">
        <v>232</v>
      </c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5" t="s">
        <v>224</v>
      </c>
      <c r="BU1" s="15"/>
      <c r="BV1" s="15"/>
      <c r="BW1" s="15"/>
      <c r="BX1" s="15"/>
      <c r="BY1" s="15"/>
      <c r="BZ1" s="15"/>
      <c r="CA1" s="15"/>
    </row>
    <row r="2" spans="1:79" s="4" customFormat="1" ht="135" customHeight="1">
      <c r="A2" s="4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6" t="s">
        <v>6</v>
      </c>
      <c r="H2" s="26" t="s">
        <v>7</v>
      </c>
      <c r="I2" s="26" t="s">
        <v>8</v>
      </c>
      <c r="J2" s="26" t="s">
        <v>9</v>
      </c>
      <c r="K2" s="26" t="s">
        <v>10</v>
      </c>
      <c r="L2" s="26" t="s">
        <v>11</v>
      </c>
      <c r="M2" s="26" t="s">
        <v>12</v>
      </c>
      <c r="N2" s="26" t="s">
        <v>13</v>
      </c>
      <c r="O2" s="26" t="s">
        <v>14</v>
      </c>
      <c r="P2" s="26" t="s">
        <v>15</v>
      </c>
      <c r="Q2" s="50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10" t="s">
        <v>24</v>
      </c>
      <c r="Z2" s="10" t="s">
        <v>25</v>
      </c>
      <c r="AA2" s="10" t="s">
        <v>26</v>
      </c>
      <c r="AB2" s="10" t="s">
        <v>27</v>
      </c>
      <c r="AC2" s="10" t="s">
        <v>28</v>
      </c>
      <c r="AD2" s="10" t="s">
        <v>29</v>
      </c>
      <c r="AE2" s="17" t="s">
        <v>30</v>
      </c>
      <c r="AF2" s="17" t="s">
        <v>31</v>
      </c>
      <c r="AG2" s="17" t="s">
        <v>32</v>
      </c>
      <c r="AH2" s="17" t="s">
        <v>33</v>
      </c>
      <c r="AI2" s="17" t="s">
        <v>34</v>
      </c>
      <c r="AJ2" s="17" t="s">
        <v>35</v>
      </c>
      <c r="AK2" s="25" t="s">
        <v>36</v>
      </c>
      <c r="AL2" s="25" t="s">
        <v>37</v>
      </c>
      <c r="AM2" s="25" t="s">
        <v>38</v>
      </c>
      <c r="AN2" s="25" t="s">
        <v>39</v>
      </c>
      <c r="AO2" s="25" t="s">
        <v>40</v>
      </c>
      <c r="AP2" s="25" t="s">
        <v>41</v>
      </c>
      <c r="AQ2" s="29" t="s">
        <v>42</v>
      </c>
      <c r="AR2" s="29" t="s">
        <v>43</v>
      </c>
      <c r="AS2" s="29" t="s">
        <v>44</v>
      </c>
      <c r="AT2" s="29" t="s">
        <v>45</v>
      </c>
      <c r="AU2" s="29" t="s">
        <v>46</v>
      </c>
      <c r="AV2" s="29" t="s">
        <v>47</v>
      </c>
      <c r="AW2" s="31" t="s">
        <v>230</v>
      </c>
      <c r="AX2" s="37" t="s">
        <v>234</v>
      </c>
      <c r="AY2" s="38" t="s">
        <v>233</v>
      </c>
      <c r="AZ2" s="39" t="s">
        <v>231</v>
      </c>
      <c r="BA2" s="40" t="s">
        <v>234</v>
      </c>
      <c r="BB2" s="41" t="s">
        <v>233</v>
      </c>
      <c r="BC2" s="42" t="s">
        <v>49</v>
      </c>
      <c r="BD2" s="42" t="s">
        <v>50</v>
      </c>
      <c r="BE2" s="43" t="s">
        <v>51</v>
      </c>
      <c r="BF2" s="44" t="s">
        <v>52</v>
      </c>
      <c r="BG2" s="45" t="s">
        <v>234</v>
      </c>
      <c r="BH2" s="46" t="s">
        <v>233</v>
      </c>
      <c r="BI2" s="47" t="s">
        <v>53</v>
      </c>
      <c r="BJ2" s="47" t="s">
        <v>54</v>
      </c>
      <c r="BK2" s="47" t="s">
        <v>36</v>
      </c>
      <c r="BL2" s="48" t="s">
        <v>55</v>
      </c>
      <c r="BM2" s="44" t="s">
        <v>56</v>
      </c>
      <c r="BN2" s="45" t="s">
        <v>234</v>
      </c>
      <c r="BO2" s="46" t="s">
        <v>233</v>
      </c>
      <c r="BP2" s="47" t="s">
        <v>57</v>
      </c>
      <c r="BQ2" s="47" t="s">
        <v>58</v>
      </c>
      <c r="BR2" s="47" t="s">
        <v>59</v>
      </c>
      <c r="BS2" s="48" t="s">
        <v>60</v>
      </c>
      <c r="BT2" s="16" t="s">
        <v>61</v>
      </c>
      <c r="BU2" s="16" t="s">
        <v>62</v>
      </c>
      <c r="BV2" s="16" t="s">
        <v>63</v>
      </c>
      <c r="BW2" s="16" t="s">
        <v>64</v>
      </c>
      <c r="BX2" s="16" t="s">
        <v>65</v>
      </c>
      <c r="BY2" s="16" t="s">
        <v>66</v>
      </c>
      <c r="BZ2" s="16" t="s">
        <v>67</v>
      </c>
      <c r="CA2" s="16" t="s">
        <v>68</v>
      </c>
    </row>
    <row r="3" spans="1:79">
      <c r="A3" t="s">
        <v>69</v>
      </c>
      <c r="B3">
        <v>31123</v>
      </c>
      <c r="C3">
        <v>29895.599999999999</v>
      </c>
      <c r="D3">
        <v>8679.2000000000007</v>
      </c>
      <c r="E3">
        <v>1227.4000000000001</v>
      </c>
      <c r="F3">
        <v>2208.9</v>
      </c>
      <c r="G3">
        <v>5928</v>
      </c>
      <c r="H3">
        <v>4892.3999999999996</v>
      </c>
      <c r="I3">
        <v>784</v>
      </c>
      <c r="J3">
        <v>251.6</v>
      </c>
      <c r="K3">
        <v>5928</v>
      </c>
      <c r="L3">
        <v>3648.4</v>
      </c>
      <c r="M3">
        <v>971</v>
      </c>
      <c r="N3">
        <v>926.8</v>
      </c>
      <c r="O3">
        <v>381.8</v>
      </c>
      <c r="P3">
        <v>420.7</v>
      </c>
      <c r="Q3">
        <v>128608.8</v>
      </c>
      <c r="R3">
        <v>19610.900000000001</v>
      </c>
      <c r="S3">
        <v>283695.7</v>
      </c>
      <c r="T3">
        <v>263215.7</v>
      </c>
      <c r="U3">
        <v>23519.8</v>
      </c>
      <c r="V3">
        <v>36103.699999999997</v>
      </c>
      <c r="W3">
        <v>10429.1</v>
      </c>
      <c r="X3">
        <v>36264.800000000003</v>
      </c>
      <c r="Y3">
        <v>52100170</v>
      </c>
      <c r="Z3">
        <v>4789427</v>
      </c>
      <c r="AA3">
        <v>5511287</v>
      </c>
      <c r="AB3">
        <v>29090366</v>
      </c>
      <c r="AC3">
        <v>8674601</v>
      </c>
      <c r="AD3">
        <v>4034489</v>
      </c>
      <c r="AE3">
        <v>72431.7</v>
      </c>
      <c r="AF3">
        <v>4988.2</v>
      </c>
      <c r="AG3">
        <v>1563.9</v>
      </c>
      <c r="AH3">
        <v>517.20000000000005</v>
      </c>
      <c r="AI3">
        <v>468.4</v>
      </c>
      <c r="AJ3">
        <v>2438.6999999999998</v>
      </c>
      <c r="AK3">
        <v>570410</v>
      </c>
      <c r="AL3">
        <v>337486</v>
      </c>
      <c r="AM3">
        <v>71246</v>
      </c>
      <c r="AN3">
        <v>22880</v>
      </c>
      <c r="AO3">
        <v>90027</v>
      </c>
      <c r="AP3">
        <v>48771</v>
      </c>
      <c r="AQ3">
        <v>4797647</v>
      </c>
      <c r="AR3">
        <v>744753</v>
      </c>
      <c r="AS3">
        <v>3231676</v>
      </c>
      <c r="AT3">
        <v>194667</v>
      </c>
      <c r="AU3">
        <v>3856</v>
      </c>
      <c r="AV3">
        <v>622696</v>
      </c>
      <c r="AW3">
        <v>1093551</v>
      </c>
      <c r="AX3" s="18">
        <f>BA3+BG3+BN3</f>
        <v>1084453</v>
      </c>
      <c r="AY3" s="35">
        <f>AW3-AX3</f>
        <v>9098</v>
      </c>
      <c r="AZ3">
        <v>38710</v>
      </c>
      <c r="BA3" s="18">
        <f>SUM(BC3:BE3)</f>
        <v>36332</v>
      </c>
      <c r="BB3" s="35">
        <f>AZ3-BA3</f>
        <v>2378</v>
      </c>
      <c r="BC3">
        <v>20257</v>
      </c>
      <c r="BD3">
        <v>5263</v>
      </c>
      <c r="BE3" s="30">
        <v>10812</v>
      </c>
      <c r="BF3">
        <v>1040023</v>
      </c>
      <c r="BG3" s="18">
        <f>SUM(BI3:BL3)</f>
        <v>1039509</v>
      </c>
      <c r="BH3" s="35">
        <f>BF3-BG3</f>
        <v>514</v>
      </c>
      <c r="BI3">
        <v>37301</v>
      </c>
      <c r="BJ3">
        <v>33334</v>
      </c>
      <c r="BK3">
        <v>570410</v>
      </c>
      <c r="BL3">
        <v>398464</v>
      </c>
      <c r="BM3">
        <v>10547</v>
      </c>
      <c r="BN3" s="18">
        <f>SUM(BP3:BS3)</f>
        <v>8612</v>
      </c>
      <c r="BO3" s="35">
        <f>BM3-BN3</f>
        <v>1935</v>
      </c>
      <c r="BP3">
        <v>3439</v>
      </c>
      <c r="BQ3">
        <v>791</v>
      </c>
      <c r="BR3">
        <v>3073</v>
      </c>
      <c r="BS3">
        <v>1309</v>
      </c>
      <c r="BT3">
        <v>27998827</v>
      </c>
      <c r="BU3">
        <v>1058761</v>
      </c>
      <c r="BV3">
        <v>3248476</v>
      </c>
      <c r="BW3">
        <v>390481</v>
      </c>
      <c r="BX3">
        <v>1564</v>
      </c>
      <c r="BY3">
        <v>47846</v>
      </c>
      <c r="BZ3">
        <v>22840</v>
      </c>
      <c r="CA3">
        <v>37783</v>
      </c>
    </row>
    <row r="4" spans="1:79">
      <c r="A4" t="s">
        <v>70</v>
      </c>
      <c r="B4">
        <v>52.9</v>
      </c>
      <c r="C4">
        <v>24.5</v>
      </c>
      <c r="D4">
        <v>42</v>
      </c>
      <c r="E4">
        <v>28.4</v>
      </c>
      <c r="F4">
        <v>242.2</v>
      </c>
      <c r="G4">
        <v>42.1</v>
      </c>
      <c r="H4">
        <v>16.7</v>
      </c>
      <c r="I4">
        <v>12.2</v>
      </c>
      <c r="J4">
        <v>13.2</v>
      </c>
      <c r="K4">
        <v>42.1</v>
      </c>
      <c r="L4">
        <v>2.4</v>
      </c>
      <c r="M4">
        <v>2.8</v>
      </c>
      <c r="N4">
        <v>19.3</v>
      </c>
      <c r="O4">
        <v>17.600000000000001</v>
      </c>
      <c r="P4">
        <v>192.7</v>
      </c>
      <c r="Q4">
        <v>130.69999999999999</v>
      </c>
      <c r="R4">
        <v>105.3</v>
      </c>
      <c r="S4">
        <v>963.2</v>
      </c>
      <c r="T4">
        <v>16.100000000000001</v>
      </c>
      <c r="U4">
        <v>3</v>
      </c>
      <c r="V4">
        <v>295.8</v>
      </c>
      <c r="W4">
        <v>52.2</v>
      </c>
      <c r="X4">
        <v>63.7</v>
      </c>
      <c r="Y4">
        <v>1860629</v>
      </c>
      <c r="Z4">
        <v>197424</v>
      </c>
      <c r="AA4">
        <v>245789</v>
      </c>
      <c r="AB4">
        <v>569118</v>
      </c>
      <c r="AC4">
        <v>630811</v>
      </c>
      <c r="AD4">
        <v>217487</v>
      </c>
      <c r="AE4">
        <v>120.6</v>
      </c>
      <c r="AF4">
        <v>6.7</v>
      </c>
      <c r="AG4">
        <v>1.7</v>
      </c>
      <c r="AH4">
        <v>0.2</v>
      </c>
      <c r="AI4">
        <v>0.3</v>
      </c>
      <c r="AJ4">
        <v>4.4000000000000004</v>
      </c>
      <c r="AK4">
        <v>2552</v>
      </c>
      <c r="AL4">
        <v>2327</v>
      </c>
      <c r="AM4">
        <v>74</v>
      </c>
      <c r="AN4">
        <v>1</v>
      </c>
      <c r="AO4">
        <v>142</v>
      </c>
      <c r="AP4">
        <v>8</v>
      </c>
      <c r="AQ4">
        <v>4658</v>
      </c>
      <c r="AR4">
        <v>1055</v>
      </c>
      <c r="AS4">
        <v>3595</v>
      </c>
      <c r="AT4" t="s">
        <v>71</v>
      </c>
      <c r="AU4" t="s">
        <v>71</v>
      </c>
      <c r="AV4">
        <v>8</v>
      </c>
      <c r="AW4">
        <v>11273</v>
      </c>
      <c r="AX4" s="18">
        <f t="shared" ref="AX4:AX34" si="0">BA4+BG4+BN4</f>
        <v>10976</v>
      </c>
      <c r="AY4" s="35">
        <f t="shared" ref="AY4:AY34" si="1">AW4-AX4</f>
        <v>297</v>
      </c>
      <c r="AZ4">
        <v>682</v>
      </c>
      <c r="BA4" s="18">
        <f t="shared" ref="BA4:BA34" si="2">SUM(BC4:BE4)</f>
        <v>606</v>
      </c>
      <c r="BB4" s="35">
        <f t="shared" ref="BB4:BB34" si="3">AZ4-BA4</f>
        <v>76</v>
      </c>
      <c r="BC4">
        <v>197</v>
      </c>
      <c r="BD4" s="13">
        <v>199</v>
      </c>
      <c r="BE4" s="30">
        <v>210</v>
      </c>
      <c r="BF4">
        <v>10290</v>
      </c>
      <c r="BG4" s="18">
        <f t="shared" ref="BG4:BG34" si="4">SUM(BI4:BL4)</f>
        <v>10290</v>
      </c>
      <c r="BH4" s="35">
        <f t="shared" ref="BH4:BH34" si="5">BF4-BG4</f>
        <v>0</v>
      </c>
      <c r="BI4">
        <v>2016</v>
      </c>
      <c r="BJ4" s="13"/>
      <c r="BK4">
        <v>2552</v>
      </c>
      <c r="BL4">
        <v>5722</v>
      </c>
      <c r="BM4">
        <v>95</v>
      </c>
      <c r="BN4" s="18">
        <f t="shared" ref="BN4:BN34" si="6">SUM(BP4:BS4)</f>
        <v>80</v>
      </c>
      <c r="BO4" s="35">
        <f t="shared" ref="BO4:BO34" si="7">BM4-BN4</f>
        <v>15</v>
      </c>
      <c r="BP4">
        <v>29</v>
      </c>
      <c r="BQ4">
        <v>16</v>
      </c>
      <c r="BR4">
        <v>18</v>
      </c>
      <c r="BS4">
        <v>17</v>
      </c>
      <c r="BT4">
        <v>114599</v>
      </c>
      <c r="BU4">
        <v>9356</v>
      </c>
      <c r="BV4">
        <v>23650</v>
      </c>
      <c r="BW4">
        <v>1185</v>
      </c>
      <c r="BX4">
        <v>4</v>
      </c>
      <c r="BY4">
        <v>131</v>
      </c>
      <c r="BZ4">
        <v>19</v>
      </c>
      <c r="CA4">
        <v>54</v>
      </c>
    </row>
    <row r="5" spans="1:79">
      <c r="A5" t="s">
        <v>72</v>
      </c>
      <c r="B5">
        <v>25.2</v>
      </c>
      <c r="C5">
        <v>16.899999999999999</v>
      </c>
      <c r="D5">
        <v>9.6999999999999993</v>
      </c>
      <c r="E5">
        <v>8.3000000000000007</v>
      </c>
      <c r="F5">
        <v>184.8</v>
      </c>
      <c r="G5">
        <v>32</v>
      </c>
      <c r="H5">
        <v>22.7</v>
      </c>
      <c r="I5">
        <v>2.5</v>
      </c>
      <c r="J5">
        <v>6.7</v>
      </c>
      <c r="K5">
        <v>32</v>
      </c>
      <c r="L5">
        <v>8.8000000000000007</v>
      </c>
      <c r="M5">
        <v>4.7</v>
      </c>
      <c r="N5">
        <v>7.3</v>
      </c>
      <c r="O5">
        <v>11.3</v>
      </c>
      <c r="P5">
        <v>234.6</v>
      </c>
      <c r="Q5">
        <v>336.7</v>
      </c>
      <c r="R5">
        <v>34.6</v>
      </c>
      <c r="S5">
        <v>145.5</v>
      </c>
      <c r="T5">
        <v>14.2</v>
      </c>
      <c r="U5">
        <v>32.9</v>
      </c>
      <c r="V5">
        <v>332.9</v>
      </c>
      <c r="W5">
        <v>47.4</v>
      </c>
      <c r="X5">
        <v>234.6</v>
      </c>
      <c r="Y5">
        <v>257269</v>
      </c>
      <c r="Z5">
        <v>56338</v>
      </c>
      <c r="AA5">
        <v>28491</v>
      </c>
      <c r="AB5">
        <v>124691</v>
      </c>
      <c r="AC5">
        <v>47680</v>
      </c>
      <c r="AD5">
        <v>69</v>
      </c>
      <c r="AE5">
        <v>309.5</v>
      </c>
      <c r="AF5">
        <v>15.2</v>
      </c>
      <c r="AG5">
        <v>4.3</v>
      </c>
      <c r="AH5">
        <v>1.4</v>
      </c>
      <c r="AI5">
        <v>1.1000000000000001</v>
      </c>
      <c r="AJ5">
        <v>8.4</v>
      </c>
      <c r="AK5">
        <v>2315</v>
      </c>
      <c r="AL5">
        <v>549</v>
      </c>
      <c r="AM5">
        <v>847</v>
      </c>
      <c r="AN5">
        <v>202</v>
      </c>
      <c r="AO5">
        <v>132</v>
      </c>
      <c r="AP5">
        <v>585</v>
      </c>
      <c r="AQ5">
        <v>12807</v>
      </c>
      <c r="AR5">
        <v>31</v>
      </c>
      <c r="AS5">
        <v>7307</v>
      </c>
      <c r="AT5">
        <v>8</v>
      </c>
      <c r="AU5" t="s">
        <v>71</v>
      </c>
      <c r="AV5">
        <v>5461</v>
      </c>
      <c r="AW5">
        <v>6939</v>
      </c>
      <c r="AX5" s="18">
        <f t="shared" si="0"/>
        <v>6826</v>
      </c>
      <c r="AY5" s="35">
        <f t="shared" si="1"/>
        <v>113</v>
      </c>
      <c r="AZ5">
        <v>453</v>
      </c>
      <c r="BA5" s="18">
        <f t="shared" si="2"/>
        <v>445</v>
      </c>
      <c r="BB5" s="35">
        <f t="shared" si="3"/>
        <v>8</v>
      </c>
      <c r="BC5">
        <v>276</v>
      </c>
      <c r="BD5">
        <v>63</v>
      </c>
      <c r="BE5" s="30">
        <v>106</v>
      </c>
      <c r="BF5">
        <v>6333</v>
      </c>
      <c r="BG5" s="18">
        <f t="shared" si="4"/>
        <v>6328</v>
      </c>
      <c r="BH5" s="35">
        <f t="shared" si="5"/>
        <v>5</v>
      </c>
      <c r="BI5">
        <v>662</v>
      </c>
      <c r="BJ5" s="13">
        <v>131</v>
      </c>
      <c r="BK5">
        <v>2315</v>
      </c>
      <c r="BL5">
        <v>3220</v>
      </c>
      <c r="BM5">
        <v>68</v>
      </c>
      <c r="BN5" s="18">
        <f t="shared" si="6"/>
        <v>53</v>
      </c>
      <c r="BO5" s="35">
        <f t="shared" si="7"/>
        <v>15</v>
      </c>
      <c r="BP5">
        <v>20</v>
      </c>
      <c r="BQ5">
        <v>3</v>
      </c>
      <c r="BR5">
        <v>17</v>
      </c>
      <c r="BS5">
        <v>13</v>
      </c>
      <c r="BT5">
        <v>189195</v>
      </c>
      <c r="BU5">
        <v>6831</v>
      </c>
      <c r="BV5">
        <v>18242</v>
      </c>
      <c r="BW5">
        <v>2054</v>
      </c>
      <c r="BX5">
        <v>4</v>
      </c>
      <c r="BY5">
        <v>23</v>
      </c>
      <c r="BZ5">
        <v>50</v>
      </c>
      <c r="CA5">
        <v>199</v>
      </c>
    </row>
    <row r="6" spans="1:79">
      <c r="A6" t="s">
        <v>73</v>
      </c>
      <c r="B6">
        <v>247.9</v>
      </c>
      <c r="C6">
        <v>140.80000000000001</v>
      </c>
      <c r="D6">
        <v>179.9</v>
      </c>
      <c r="E6">
        <v>107.2</v>
      </c>
      <c r="F6">
        <v>335.7</v>
      </c>
      <c r="G6">
        <v>189.8</v>
      </c>
      <c r="H6">
        <v>97.9</v>
      </c>
      <c r="I6">
        <v>73.2</v>
      </c>
      <c r="J6">
        <v>18.7</v>
      </c>
      <c r="K6">
        <v>189.8</v>
      </c>
      <c r="L6">
        <v>100.2</v>
      </c>
      <c r="M6">
        <v>16.2</v>
      </c>
      <c r="N6">
        <v>29.1</v>
      </c>
      <c r="O6">
        <v>44.3</v>
      </c>
      <c r="P6">
        <v>257</v>
      </c>
      <c r="Q6">
        <v>6088.4</v>
      </c>
      <c r="R6">
        <v>955.3</v>
      </c>
      <c r="S6">
        <v>6333.9</v>
      </c>
      <c r="T6">
        <v>1916.6</v>
      </c>
      <c r="U6">
        <v>135.9</v>
      </c>
      <c r="V6">
        <v>2163.8000000000002</v>
      </c>
      <c r="W6">
        <v>434.6</v>
      </c>
      <c r="X6">
        <v>590.79999999999995</v>
      </c>
      <c r="Y6">
        <v>3233889</v>
      </c>
      <c r="Z6">
        <v>57234</v>
      </c>
      <c r="AA6">
        <v>714143</v>
      </c>
      <c r="AB6">
        <v>1789098</v>
      </c>
      <c r="AC6">
        <v>521281</v>
      </c>
      <c r="AD6">
        <v>152133</v>
      </c>
      <c r="AE6">
        <v>4123.2</v>
      </c>
      <c r="AF6">
        <v>263.39999999999998</v>
      </c>
      <c r="AG6">
        <v>85.7</v>
      </c>
      <c r="AH6">
        <v>18.8</v>
      </c>
      <c r="AI6">
        <v>18.100000000000001</v>
      </c>
      <c r="AJ6">
        <v>140.69999999999999</v>
      </c>
      <c r="AK6">
        <v>58222</v>
      </c>
      <c r="AL6">
        <v>35253</v>
      </c>
      <c r="AM6">
        <v>2632</v>
      </c>
      <c r="AN6">
        <v>1159</v>
      </c>
      <c r="AO6">
        <v>15401</v>
      </c>
      <c r="AP6">
        <v>3777</v>
      </c>
      <c r="AQ6">
        <v>289888</v>
      </c>
      <c r="AR6">
        <v>11375</v>
      </c>
      <c r="AS6">
        <v>250214</v>
      </c>
      <c r="AT6">
        <v>100</v>
      </c>
      <c r="AU6" t="s">
        <v>71</v>
      </c>
      <c r="AV6">
        <v>28199</v>
      </c>
      <c r="AW6">
        <v>93648</v>
      </c>
      <c r="AX6" s="18">
        <f t="shared" si="0"/>
        <v>93373</v>
      </c>
      <c r="AY6" s="35">
        <f t="shared" si="1"/>
        <v>275</v>
      </c>
      <c r="AZ6">
        <v>2528</v>
      </c>
      <c r="BA6" s="18">
        <f t="shared" si="2"/>
        <v>2446</v>
      </c>
      <c r="BB6" s="35">
        <f t="shared" si="3"/>
        <v>82</v>
      </c>
      <c r="BC6">
        <v>1594</v>
      </c>
      <c r="BD6">
        <v>327</v>
      </c>
      <c r="BE6" s="30">
        <v>525</v>
      </c>
      <c r="BF6">
        <v>90464</v>
      </c>
      <c r="BG6" s="18">
        <f t="shared" si="4"/>
        <v>90464</v>
      </c>
      <c r="BH6" s="35">
        <f t="shared" si="5"/>
        <v>0</v>
      </c>
      <c r="BI6">
        <v>1680</v>
      </c>
      <c r="BJ6" s="13">
        <v>1965</v>
      </c>
      <c r="BK6">
        <v>58222</v>
      </c>
      <c r="BL6">
        <v>28597</v>
      </c>
      <c r="BM6">
        <v>515</v>
      </c>
      <c r="BN6" s="18">
        <f t="shared" si="6"/>
        <v>463</v>
      </c>
      <c r="BO6" s="35">
        <f t="shared" si="7"/>
        <v>52</v>
      </c>
      <c r="BP6">
        <v>188</v>
      </c>
      <c r="BQ6">
        <v>13</v>
      </c>
      <c r="BR6">
        <v>184</v>
      </c>
      <c r="BS6">
        <v>78</v>
      </c>
      <c r="BT6">
        <v>1536069</v>
      </c>
      <c r="BU6">
        <v>42970</v>
      </c>
      <c r="BV6">
        <v>131062</v>
      </c>
      <c r="BW6">
        <v>16123</v>
      </c>
      <c r="BX6">
        <v>101</v>
      </c>
      <c r="BY6">
        <v>6786</v>
      </c>
      <c r="BZ6">
        <v>3504</v>
      </c>
      <c r="CA6">
        <v>817</v>
      </c>
    </row>
    <row r="7" spans="1:79">
      <c r="A7" t="s">
        <v>74</v>
      </c>
      <c r="B7">
        <v>115</v>
      </c>
      <c r="C7">
        <v>73.5</v>
      </c>
      <c r="D7">
        <v>94.1</v>
      </c>
      <c r="E7">
        <v>41.5</v>
      </c>
      <c r="F7">
        <v>332.8</v>
      </c>
      <c r="G7">
        <v>70</v>
      </c>
      <c r="H7">
        <v>36.299999999999997</v>
      </c>
      <c r="I7">
        <v>26.9</v>
      </c>
      <c r="J7">
        <v>6.8</v>
      </c>
      <c r="K7">
        <v>70</v>
      </c>
      <c r="L7">
        <v>36.5</v>
      </c>
      <c r="M7">
        <v>11.3</v>
      </c>
      <c r="N7">
        <v>15.7</v>
      </c>
      <c r="O7">
        <v>6.6</v>
      </c>
      <c r="P7">
        <v>202.5</v>
      </c>
      <c r="Q7">
        <v>3893.5</v>
      </c>
      <c r="R7">
        <v>622.9</v>
      </c>
      <c r="S7">
        <v>6099</v>
      </c>
      <c r="T7">
        <v>3046.6</v>
      </c>
      <c r="U7">
        <v>49.1</v>
      </c>
      <c r="V7">
        <v>1029.5999999999999</v>
      </c>
      <c r="W7">
        <v>297.3</v>
      </c>
      <c r="X7">
        <v>177.9</v>
      </c>
      <c r="Y7">
        <v>987543</v>
      </c>
      <c r="Z7">
        <v>63867</v>
      </c>
      <c r="AA7">
        <v>404368</v>
      </c>
      <c r="AB7">
        <v>433207</v>
      </c>
      <c r="AC7">
        <v>47453</v>
      </c>
      <c r="AD7">
        <v>38648</v>
      </c>
      <c r="AE7">
        <v>1530.9</v>
      </c>
      <c r="AF7">
        <v>103.8</v>
      </c>
      <c r="AG7">
        <v>17</v>
      </c>
      <c r="AH7">
        <v>7.5</v>
      </c>
      <c r="AI7">
        <v>6.8</v>
      </c>
      <c r="AJ7">
        <v>72.5</v>
      </c>
      <c r="AK7">
        <v>21703</v>
      </c>
      <c r="AL7">
        <v>15409</v>
      </c>
      <c r="AM7">
        <v>818</v>
      </c>
      <c r="AN7">
        <v>566</v>
      </c>
      <c r="AO7">
        <v>1936</v>
      </c>
      <c r="AP7">
        <v>2974</v>
      </c>
      <c r="AQ7">
        <v>73552</v>
      </c>
      <c r="AR7">
        <v>3632</v>
      </c>
      <c r="AS7">
        <v>9378</v>
      </c>
      <c r="AT7">
        <v>6101</v>
      </c>
      <c r="AU7">
        <v>189</v>
      </c>
      <c r="AV7">
        <v>54251</v>
      </c>
      <c r="AW7">
        <v>38415</v>
      </c>
      <c r="AX7" s="18">
        <f t="shared" si="0"/>
        <v>38080</v>
      </c>
      <c r="AY7" s="35">
        <f t="shared" si="1"/>
        <v>335</v>
      </c>
      <c r="AZ7">
        <v>1373</v>
      </c>
      <c r="BA7" s="18">
        <f t="shared" si="2"/>
        <v>1328</v>
      </c>
      <c r="BB7" s="35">
        <f t="shared" si="3"/>
        <v>45</v>
      </c>
      <c r="BC7">
        <v>618</v>
      </c>
      <c r="BD7">
        <v>222</v>
      </c>
      <c r="BE7" s="30">
        <v>488</v>
      </c>
      <c r="BF7">
        <v>36645</v>
      </c>
      <c r="BG7" s="18">
        <f t="shared" si="4"/>
        <v>36459</v>
      </c>
      <c r="BH7" s="35">
        <f t="shared" si="5"/>
        <v>186</v>
      </c>
      <c r="BI7">
        <v>1114</v>
      </c>
      <c r="BJ7" s="13">
        <v>1264</v>
      </c>
      <c r="BK7">
        <v>21703</v>
      </c>
      <c r="BL7">
        <v>12378</v>
      </c>
      <c r="BM7">
        <v>339</v>
      </c>
      <c r="BN7" s="18">
        <f t="shared" si="6"/>
        <v>293</v>
      </c>
      <c r="BO7" s="35">
        <f t="shared" si="7"/>
        <v>46</v>
      </c>
      <c r="BP7">
        <v>132</v>
      </c>
      <c r="BQ7">
        <v>7</v>
      </c>
      <c r="BR7">
        <v>129</v>
      </c>
      <c r="BS7">
        <v>25</v>
      </c>
      <c r="BT7">
        <v>793400</v>
      </c>
      <c r="BU7">
        <v>23752</v>
      </c>
      <c r="BV7">
        <v>66154</v>
      </c>
      <c r="BW7">
        <v>9288</v>
      </c>
      <c r="BX7">
        <v>24</v>
      </c>
      <c r="BY7">
        <v>2713</v>
      </c>
      <c r="BZ7">
        <v>2215</v>
      </c>
      <c r="CA7">
        <v>837</v>
      </c>
    </row>
    <row r="8" spans="1:79">
      <c r="A8" t="s">
        <v>75</v>
      </c>
      <c r="B8">
        <v>581.1</v>
      </c>
      <c r="C8">
        <v>399.7</v>
      </c>
      <c r="D8">
        <v>259.8</v>
      </c>
      <c r="E8">
        <v>181.4</v>
      </c>
      <c r="F8">
        <v>2429.3000000000002</v>
      </c>
      <c r="G8">
        <v>189.9</v>
      </c>
      <c r="H8">
        <v>85.1</v>
      </c>
      <c r="I8">
        <v>95.9</v>
      </c>
      <c r="J8">
        <v>8.9</v>
      </c>
      <c r="K8">
        <v>189.9</v>
      </c>
      <c r="L8">
        <v>138.5</v>
      </c>
      <c r="M8">
        <v>16.7</v>
      </c>
      <c r="N8">
        <v>11.3</v>
      </c>
      <c r="O8">
        <v>23.5</v>
      </c>
      <c r="P8">
        <v>793.9</v>
      </c>
      <c r="Q8">
        <v>11617.4</v>
      </c>
      <c r="R8">
        <v>49.2</v>
      </c>
      <c r="S8">
        <v>24355.599999999999</v>
      </c>
      <c r="T8">
        <v>53939.6</v>
      </c>
      <c r="U8">
        <v>3793</v>
      </c>
      <c r="V8">
        <v>1556.8</v>
      </c>
      <c r="W8">
        <v>829.8</v>
      </c>
      <c r="X8">
        <v>1097.2</v>
      </c>
      <c r="Y8">
        <v>1508472</v>
      </c>
      <c r="Z8">
        <v>66357</v>
      </c>
      <c r="AA8">
        <v>876415</v>
      </c>
      <c r="AB8">
        <v>494014</v>
      </c>
      <c r="AC8">
        <v>32182</v>
      </c>
      <c r="AD8">
        <v>39504</v>
      </c>
      <c r="AE8">
        <v>4887.8</v>
      </c>
      <c r="AF8">
        <v>221.8</v>
      </c>
      <c r="AG8">
        <v>68.099999999999994</v>
      </c>
      <c r="AH8">
        <v>15</v>
      </c>
      <c r="AI8">
        <v>15.4</v>
      </c>
      <c r="AJ8">
        <v>123.3</v>
      </c>
      <c r="AK8">
        <v>12772</v>
      </c>
      <c r="AL8">
        <v>4591</v>
      </c>
      <c r="AM8">
        <v>3035</v>
      </c>
      <c r="AN8">
        <v>241</v>
      </c>
      <c r="AO8">
        <v>3586</v>
      </c>
      <c r="AP8">
        <v>1319</v>
      </c>
      <c r="AQ8">
        <v>193969</v>
      </c>
      <c r="AR8">
        <v>10610</v>
      </c>
      <c r="AS8">
        <v>127770</v>
      </c>
      <c r="AT8">
        <v>49038</v>
      </c>
      <c r="AU8">
        <v>21</v>
      </c>
      <c r="AV8">
        <v>6530</v>
      </c>
      <c r="AW8">
        <v>26768</v>
      </c>
      <c r="AX8" s="18">
        <f t="shared" si="0"/>
        <v>26510</v>
      </c>
      <c r="AY8" s="35">
        <f t="shared" si="1"/>
        <v>258</v>
      </c>
      <c r="AZ8">
        <v>861</v>
      </c>
      <c r="BA8" s="18">
        <f t="shared" si="2"/>
        <v>757</v>
      </c>
      <c r="BB8" s="35">
        <f t="shared" si="3"/>
        <v>104</v>
      </c>
      <c r="BC8">
        <v>400</v>
      </c>
      <c r="BD8">
        <v>174</v>
      </c>
      <c r="BE8" s="30">
        <v>183</v>
      </c>
      <c r="BF8">
        <v>25480</v>
      </c>
      <c r="BG8" s="18">
        <f t="shared" si="4"/>
        <v>25480</v>
      </c>
      <c r="BH8" s="35">
        <f t="shared" si="5"/>
        <v>0</v>
      </c>
      <c r="BI8">
        <v>1321</v>
      </c>
      <c r="BJ8" s="13">
        <v>1217</v>
      </c>
      <c r="BK8">
        <v>12772</v>
      </c>
      <c r="BL8">
        <v>10170</v>
      </c>
      <c r="BM8">
        <v>351</v>
      </c>
      <c r="BN8" s="18">
        <f t="shared" si="6"/>
        <v>273</v>
      </c>
      <c r="BO8" s="35">
        <f t="shared" si="7"/>
        <v>78</v>
      </c>
      <c r="BP8">
        <v>118</v>
      </c>
      <c r="BQ8">
        <v>7</v>
      </c>
      <c r="BR8">
        <v>116</v>
      </c>
      <c r="BS8">
        <v>32</v>
      </c>
      <c r="BT8">
        <v>906870</v>
      </c>
      <c r="BU8">
        <v>21551</v>
      </c>
      <c r="BV8">
        <v>74325</v>
      </c>
      <c r="BW8">
        <v>5604</v>
      </c>
      <c r="BX8">
        <v>6</v>
      </c>
      <c r="BY8">
        <v>186</v>
      </c>
      <c r="BZ8">
        <v>95</v>
      </c>
      <c r="CA8">
        <v>101</v>
      </c>
    </row>
    <row r="9" spans="1:79">
      <c r="A9" t="s">
        <v>76</v>
      </c>
      <c r="B9">
        <v>534.6</v>
      </c>
      <c r="C9">
        <v>482.6</v>
      </c>
      <c r="D9">
        <v>151.1</v>
      </c>
      <c r="E9">
        <v>52</v>
      </c>
      <c r="F9">
        <v>1282.5</v>
      </c>
      <c r="G9">
        <v>123.3</v>
      </c>
      <c r="H9">
        <v>73.7</v>
      </c>
      <c r="I9">
        <v>41.7</v>
      </c>
      <c r="J9">
        <v>7.8</v>
      </c>
      <c r="K9">
        <v>123.3</v>
      </c>
      <c r="L9">
        <v>71.900000000000006</v>
      </c>
      <c r="M9">
        <v>14.8</v>
      </c>
      <c r="N9">
        <v>26.4</v>
      </c>
      <c r="O9">
        <v>10.3</v>
      </c>
      <c r="P9">
        <v>296.8</v>
      </c>
      <c r="Q9">
        <v>5162.2</v>
      </c>
      <c r="R9">
        <v>525.9</v>
      </c>
      <c r="S9">
        <v>5985.5</v>
      </c>
      <c r="T9">
        <v>475.1</v>
      </c>
      <c r="U9">
        <v>294</v>
      </c>
      <c r="V9">
        <v>1347.3</v>
      </c>
      <c r="W9">
        <v>317</v>
      </c>
      <c r="X9">
        <v>701.2</v>
      </c>
      <c r="Y9">
        <v>792526</v>
      </c>
      <c r="Z9">
        <v>278219</v>
      </c>
      <c r="AA9">
        <v>120929</v>
      </c>
      <c r="AB9">
        <v>359050</v>
      </c>
      <c r="AC9">
        <v>15159</v>
      </c>
      <c r="AD9">
        <v>19169</v>
      </c>
      <c r="AE9">
        <v>1739.8</v>
      </c>
      <c r="AF9">
        <v>129.1</v>
      </c>
      <c r="AG9">
        <v>38.9</v>
      </c>
      <c r="AH9">
        <v>7.6</v>
      </c>
      <c r="AI9">
        <v>9.9</v>
      </c>
      <c r="AJ9">
        <v>72.7</v>
      </c>
      <c r="AK9">
        <v>16455</v>
      </c>
      <c r="AL9">
        <v>7877</v>
      </c>
      <c r="AM9">
        <v>410</v>
      </c>
      <c r="AN9">
        <v>154</v>
      </c>
      <c r="AO9">
        <v>6915</v>
      </c>
      <c r="AP9">
        <v>1099</v>
      </c>
      <c r="AQ9">
        <v>178226</v>
      </c>
      <c r="AR9">
        <v>13466</v>
      </c>
      <c r="AS9">
        <v>143280</v>
      </c>
      <c r="AT9">
        <v>2426</v>
      </c>
      <c r="AU9">
        <v>98</v>
      </c>
      <c r="AV9">
        <v>18957</v>
      </c>
      <c r="AW9">
        <v>37137</v>
      </c>
      <c r="AX9" s="18">
        <f t="shared" si="0"/>
        <v>36831</v>
      </c>
      <c r="AY9" s="35">
        <f t="shared" si="1"/>
        <v>306</v>
      </c>
      <c r="AZ9">
        <v>1646</v>
      </c>
      <c r="BA9" s="18">
        <f t="shared" si="2"/>
        <v>1608</v>
      </c>
      <c r="BB9" s="35">
        <f t="shared" si="3"/>
        <v>38</v>
      </c>
      <c r="BC9">
        <v>837</v>
      </c>
      <c r="BD9">
        <v>252</v>
      </c>
      <c r="BE9" s="30">
        <v>519</v>
      </c>
      <c r="BF9">
        <v>34973</v>
      </c>
      <c r="BG9" s="18">
        <f t="shared" si="4"/>
        <v>34946</v>
      </c>
      <c r="BH9" s="35">
        <f t="shared" si="5"/>
        <v>27</v>
      </c>
      <c r="BI9">
        <v>1508</v>
      </c>
      <c r="BJ9" s="13">
        <v>987</v>
      </c>
      <c r="BK9">
        <v>16455</v>
      </c>
      <c r="BL9">
        <v>15996</v>
      </c>
      <c r="BM9">
        <v>363</v>
      </c>
      <c r="BN9" s="18">
        <f t="shared" si="6"/>
        <v>277</v>
      </c>
      <c r="BO9" s="35">
        <f t="shared" si="7"/>
        <v>86</v>
      </c>
      <c r="BP9">
        <v>126</v>
      </c>
      <c r="BQ9">
        <v>35</v>
      </c>
      <c r="BR9">
        <v>103</v>
      </c>
      <c r="BS9">
        <v>13</v>
      </c>
      <c r="BT9">
        <v>1372012</v>
      </c>
      <c r="BU9">
        <v>33058</v>
      </c>
      <c r="BV9">
        <v>111329</v>
      </c>
      <c r="BW9">
        <v>15537</v>
      </c>
      <c r="BX9">
        <v>116</v>
      </c>
      <c r="BY9">
        <v>7655</v>
      </c>
      <c r="BZ9">
        <v>757</v>
      </c>
      <c r="CA9">
        <v>777</v>
      </c>
    </row>
    <row r="10" spans="1:79">
      <c r="A10" t="s">
        <v>77</v>
      </c>
      <c r="B10">
        <v>676.8</v>
      </c>
      <c r="C10">
        <v>589.5</v>
      </c>
      <c r="D10">
        <v>216.6</v>
      </c>
      <c r="E10">
        <v>87.3</v>
      </c>
      <c r="F10">
        <v>2907.2</v>
      </c>
      <c r="G10">
        <v>107</v>
      </c>
      <c r="H10">
        <v>70.599999999999994</v>
      </c>
      <c r="I10">
        <v>30.5</v>
      </c>
      <c r="J10">
        <v>5.8</v>
      </c>
      <c r="K10">
        <v>107</v>
      </c>
      <c r="L10">
        <v>76.599999999999994</v>
      </c>
      <c r="M10">
        <v>7.9</v>
      </c>
      <c r="N10">
        <v>13</v>
      </c>
      <c r="O10">
        <v>9.4</v>
      </c>
      <c r="P10">
        <v>459.6</v>
      </c>
      <c r="Q10">
        <v>7452.6</v>
      </c>
      <c r="R10">
        <v>88.8</v>
      </c>
      <c r="S10">
        <v>8804.7999999999993</v>
      </c>
      <c r="T10">
        <v>619.70000000000005</v>
      </c>
      <c r="U10">
        <v>221.4</v>
      </c>
      <c r="V10">
        <v>864.3</v>
      </c>
      <c r="W10">
        <v>277.2</v>
      </c>
      <c r="X10">
        <v>631.6</v>
      </c>
      <c r="Y10">
        <v>456757</v>
      </c>
      <c r="Z10">
        <v>46228</v>
      </c>
      <c r="AA10">
        <v>163116</v>
      </c>
      <c r="AB10">
        <v>197457</v>
      </c>
      <c r="AC10">
        <v>49555</v>
      </c>
      <c r="AD10">
        <v>401</v>
      </c>
      <c r="AE10">
        <v>2097</v>
      </c>
      <c r="AF10">
        <v>226.3</v>
      </c>
      <c r="AG10">
        <v>36.1</v>
      </c>
      <c r="AH10">
        <v>4.5999999999999996</v>
      </c>
      <c r="AI10">
        <v>11</v>
      </c>
      <c r="AJ10">
        <v>174.5</v>
      </c>
      <c r="AK10">
        <v>8701</v>
      </c>
      <c r="AL10">
        <v>3808</v>
      </c>
      <c r="AM10">
        <v>1706</v>
      </c>
      <c r="AN10">
        <v>1450</v>
      </c>
      <c r="AO10">
        <v>1357</v>
      </c>
      <c r="AP10">
        <v>380</v>
      </c>
      <c r="AQ10">
        <v>47042</v>
      </c>
      <c r="AR10">
        <v>8486</v>
      </c>
      <c r="AS10">
        <v>32393</v>
      </c>
      <c r="AT10">
        <v>10</v>
      </c>
      <c r="AU10" t="s">
        <v>71</v>
      </c>
      <c r="AV10">
        <v>6153</v>
      </c>
      <c r="AW10">
        <v>26540</v>
      </c>
      <c r="AX10" s="18">
        <f t="shared" si="0"/>
        <v>26382</v>
      </c>
      <c r="AY10" s="35">
        <f t="shared" si="1"/>
        <v>158</v>
      </c>
      <c r="AZ10">
        <v>873</v>
      </c>
      <c r="BA10" s="18">
        <f t="shared" si="2"/>
        <v>861</v>
      </c>
      <c r="BB10" s="35">
        <f t="shared" si="3"/>
        <v>12</v>
      </c>
      <c r="BC10">
        <v>409</v>
      </c>
      <c r="BD10">
        <v>171</v>
      </c>
      <c r="BE10" s="30">
        <v>281</v>
      </c>
      <c r="BF10">
        <v>25306</v>
      </c>
      <c r="BG10" s="18">
        <f t="shared" si="4"/>
        <v>25306</v>
      </c>
      <c r="BH10" s="35">
        <f t="shared" si="5"/>
        <v>0</v>
      </c>
      <c r="BI10">
        <v>337</v>
      </c>
      <c r="BJ10" s="13">
        <v>754</v>
      </c>
      <c r="BK10">
        <v>8701</v>
      </c>
      <c r="BL10">
        <v>15514</v>
      </c>
      <c r="BM10">
        <v>250</v>
      </c>
      <c r="BN10" s="18">
        <f t="shared" si="6"/>
        <v>215</v>
      </c>
      <c r="BO10" s="35">
        <f t="shared" si="7"/>
        <v>35</v>
      </c>
      <c r="BP10">
        <v>70</v>
      </c>
      <c r="BQ10">
        <v>54</v>
      </c>
      <c r="BR10">
        <v>70</v>
      </c>
      <c r="BS10">
        <v>21</v>
      </c>
      <c r="BT10">
        <v>899449</v>
      </c>
      <c r="BU10">
        <v>15345</v>
      </c>
      <c r="BV10">
        <v>64328</v>
      </c>
      <c r="BW10">
        <v>7346</v>
      </c>
      <c r="BX10">
        <v>29</v>
      </c>
      <c r="BY10">
        <v>449</v>
      </c>
      <c r="BZ10">
        <v>269</v>
      </c>
      <c r="CA10">
        <v>341</v>
      </c>
    </row>
    <row r="11" spans="1:79">
      <c r="A11" t="s">
        <v>78</v>
      </c>
      <c r="B11">
        <v>1011.7</v>
      </c>
      <c r="C11">
        <v>851.6</v>
      </c>
      <c r="D11">
        <v>342.9</v>
      </c>
      <c r="E11">
        <v>160.1</v>
      </c>
      <c r="F11">
        <v>3322</v>
      </c>
      <c r="G11">
        <v>288.5</v>
      </c>
      <c r="H11">
        <v>187.9</v>
      </c>
      <c r="I11">
        <v>97.6</v>
      </c>
      <c r="J11">
        <v>3.1</v>
      </c>
      <c r="K11">
        <v>288.5</v>
      </c>
      <c r="L11">
        <v>258.39999999999998</v>
      </c>
      <c r="M11">
        <v>11.9</v>
      </c>
      <c r="N11">
        <v>14.5</v>
      </c>
      <c r="O11">
        <v>3.7</v>
      </c>
      <c r="P11">
        <v>947.3</v>
      </c>
      <c r="Q11">
        <v>17167.7</v>
      </c>
      <c r="R11">
        <v>74.2</v>
      </c>
      <c r="S11">
        <v>21611.3</v>
      </c>
      <c r="T11">
        <v>1169.5</v>
      </c>
      <c r="U11">
        <v>3474.7</v>
      </c>
      <c r="V11">
        <v>1177.2</v>
      </c>
      <c r="W11">
        <v>558.29999999999995</v>
      </c>
      <c r="X11">
        <v>1721.5</v>
      </c>
      <c r="Y11">
        <v>857770</v>
      </c>
      <c r="Z11">
        <v>43116</v>
      </c>
      <c r="AA11">
        <v>182895</v>
      </c>
      <c r="AB11">
        <v>593033</v>
      </c>
      <c r="AC11">
        <v>34338</v>
      </c>
      <c r="AD11">
        <v>4388</v>
      </c>
      <c r="AE11">
        <v>6250.8</v>
      </c>
      <c r="AF11">
        <v>240.3</v>
      </c>
      <c r="AG11">
        <v>75.900000000000006</v>
      </c>
      <c r="AH11">
        <v>46.5</v>
      </c>
      <c r="AI11">
        <v>32.299999999999997</v>
      </c>
      <c r="AJ11">
        <v>85.6</v>
      </c>
      <c r="AK11">
        <v>10206</v>
      </c>
      <c r="AL11">
        <v>7445</v>
      </c>
      <c r="AM11">
        <v>1319</v>
      </c>
      <c r="AN11">
        <v>139</v>
      </c>
      <c r="AO11">
        <v>701</v>
      </c>
      <c r="AP11">
        <v>602</v>
      </c>
      <c r="AQ11">
        <v>96649</v>
      </c>
      <c r="AR11">
        <v>2645</v>
      </c>
      <c r="AS11">
        <v>90765</v>
      </c>
      <c r="AT11">
        <v>777</v>
      </c>
      <c r="AU11" t="s">
        <v>71</v>
      </c>
      <c r="AV11">
        <v>2462</v>
      </c>
      <c r="AW11">
        <v>22535</v>
      </c>
      <c r="AX11" s="18">
        <f t="shared" si="0"/>
        <v>22352</v>
      </c>
      <c r="AY11" s="35">
        <f t="shared" si="1"/>
        <v>183</v>
      </c>
      <c r="AZ11">
        <v>1278</v>
      </c>
      <c r="BA11" s="18">
        <f t="shared" si="2"/>
        <v>1262</v>
      </c>
      <c r="BB11" s="35">
        <f t="shared" si="3"/>
        <v>16</v>
      </c>
      <c r="BC11">
        <v>810</v>
      </c>
      <c r="BD11">
        <v>199</v>
      </c>
      <c r="BE11" s="30">
        <v>253</v>
      </c>
      <c r="BF11">
        <v>20759</v>
      </c>
      <c r="BG11" s="18">
        <f t="shared" si="4"/>
        <v>20758</v>
      </c>
      <c r="BH11" s="35">
        <f t="shared" si="5"/>
        <v>1</v>
      </c>
      <c r="BI11">
        <v>643</v>
      </c>
      <c r="BJ11" s="13">
        <v>974</v>
      </c>
      <c r="BK11">
        <v>10206</v>
      </c>
      <c r="BL11">
        <v>8935</v>
      </c>
      <c r="BM11">
        <v>403</v>
      </c>
      <c r="BN11" s="18">
        <f t="shared" si="6"/>
        <v>332</v>
      </c>
      <c r="BO11" s="35">
        <f t="shared" si="7"/>
        <v>71</v>
      </c>
      <c r="BP11">
        <v>145</v>
      </c>
      <c r="BQ11">
        <v>17</v>
      </c>
      <c r="BR11">
        <v>118</v>
      </c>
      <c r="BS11">
        <v>52</v>
      </c>
      <c r="BT11">
        <v>1004969</v>
      </c>
      <c r="BU11">
        <v>22391</v>
      </c>
      <c r="BV11">
        <v>90377</v>
      </c>
      <c r="BW11">
        <v>9166</v>
      </c>
      <c r="BX11">
        <v>15</v>
      </c>
      <c r="BY11">
        <v>1123</v>
      </c>
      <c r="BZ11">
        <v>138</v>
      </c>
      <c r="CA11">
        <v>56</v>
      </c>
    </row>
    <row r="12" spans="1:79">
      <c r="A12" t="s">
        <v>79</v>
      </c>
      <c r="B12">
        <v>53.4</v>
      </c>
      <c r="C12">
        <v>45.6</v>
      </c>
      <c r="D12">
        <v>10.7</v>
      </c>
      <c r="E12">
        <v>7.7</v>
      </c>
      <c r="F12">
        <v>215</v>
      </c>
      <c r="G12">
        <v>107.3</v>
      </c>
      <c r="H12">
        <v>105.9</v>
      </c>
      <c r="I12">
        <v>0</v>
      </c>
      <c r="J12">
        <v>1.4</v>
      </c>
      <c r="K12">
        <v>107.3</v>
      </c>
      <c r="L12">
        <v>14.3</v>
      </c>
      <c r="M12">
        <v>68.099999999999994</v>
      </c>
      <c r="N12">
        <v>23.8</v>
      </c>
      <c r="O12">
        <v>1</v>
      </c>
      <c r="P12">
        <v>432.1</v>
      </c>
      <c r="Q12">
        <v>160.9</v>
      </c>
      <c r="R12">
        <v>14.1</v>
      </c>
      <c r="S12">
        <v>88.5</v>
      </c>
      <c r="T12">
        <v>17.8</v>
      </c>
      <c r="U12">
        <v>70.7</v>
      </c>
      <c r="V12">
        <v>285.3</v>
      </c>
      <c r="W12">
        <v>37</v>
      </c>
      <c r="X12">
        <v>185.3</v>
      </c>
      <c r="Y12">
        <v>1202295</v>
      </c>
      <c r="Z12">
        <v>59134</v>
      </c>
      <c r="AA12" s="13"/>
      <c r="AB12">
        <v>479616</v>
      </c>
      <c r="AC12">
        <v>527772</v>
      </c>
      <c r="AD12">
        <v>135773</v>
      </c>
      <c r="AE12">
        <v>160.9</v>
      </c>
      <c r="AF12">
        <v>6.4</v>
      </c>
      <c r="AG12">
        <v>2.2999999999999998</v>
      </c>
      <c r="AH12">
        <v>0.3</v>
      </c>
      <c r="AI12">
        <v>0.1</v>
      </c>
      <c r="AJ12">
        <v>3.6</v>
      </c>
      <c r="AK12">
        <v>1101</v>
      </c>
      <c r="AL12">
        <v>783</v>
      </c>
      <c r="AM12" t="s">
        <v>71</v>
      </c>
      <c r="AN12" t="s">
        <v>71</v>
      </c>
      <c r="AO12" t="s">
        <v>71</v>
      </c>
      <c r="AP12">
        <v>318</v>
      </c>
      <c r="AQ12">
        <v>315780</v>
      </c>
      <c r="AR12">
        <v>40478</v>
      </c>
      <c r="AS12">
        <v>235818</v>
      </c>
      <c r="AT12">
        <v>166</v>
      </c>
      <c r="AU12">
        <v>33</v>
      </c>
      <c r="AV12">
        <v>39286</v>
      </c>
      <c r="AW12">
        <v>6421</v>
      </c>
      <c r="AX12" s="18">
        <f t="shared" si="0"/>
        <v>6117</v>
      </c>
      <c r="AY12" s="35">
        <f t="shared" si="1"/>
        <v>304</v>
      </c>
      <c r="AZ12">
        <v>492</v>
      </c>
      <c r="BA12" s="18">
        <f t="shared" si="2"/>
        <v>371</v>
      </c>
      <c r="BB12" s="35">
        <f t="shared" si="3"/>
        <v>121</v>
      </c>
      <c r="BC12">
        <v>184</v>
      </c>
      <c r="BD12">
        <v>28</v>
      </c>
      <c r="BE12" s="30">
        <v>159</v>
      </c>
      <c r="BF12">
        <v>5692</v>
      </c>
      <c r="BG12" s="18">
        <f t="shared" si="4"/>
        <v>5692</v>
      </c>
      <c r="BH12" s="35">
        <f t="shared" si="5"/>
        <v>0</v>
      </c>
      <c r="BI12">
        <v>1208</v>
      </c>
      <c r="BJ12" s="13"/>
      <c r="BK12">
        <v>1101</v>
      </c>
      <c r="BL12">
        <v>3383</v>
      </c>
      <c r="BM12">
        <v>88</v>
      </c>
      <c r="BN12" s="18">
        <f t="shared" si="6"/>
        <v>54</v>
      </c>
      <c r="BO12" s="35">
        <f t="shared" si="7"/>
        <v>34</v>
      </c>
      <c r="BP12">
        <v>19</v>
      </c>
      <c r="BQ12">
        <v>14</v>
      </c>
      <c r="BR12">
        <v>16</v>
      </c>
      <c r="BS12">
        <v>5</v>
      </c>
      <c r="BT12">
        <v>130709</v>
      </c>
      <c r="BU12">
        <v>9887</v>
      </c>
      <c r="BV12">
        <v>29218</v>
      </c>
      <c r="BW12">
        <v>1617</v>
      </c>
      <c r="BX12">
        <v>20</v>
      </c>
      <c r="BY12">
        <v>324</v>
      </c>
      <c r="BZ12">
        <v>248</v>
      </c>
      <c r="CA12">
        <v>389</v>
      </c>
    </row>
    <row r="13" spans="1:79">
      <c r="A13" t="s">
        <v>80</v>
      </c>
      <c r="B13">
        <v>496.3</v>
      </c>
      <c r="C13">
        <v>438.7</v>
      </c>
      <c r="D13">
        <v>132.1</v>
      </c>
      <c r="E13">
        <v>57.6</v>
      </c>
      <c r="F13">
        <v>582.1</v>
      </c>
      <c r="G13">
        <v>578.70000000000005</v>
      </c>
      <c r="H13">
        <v>560.5</v>
      </c>
      <c r="I13">
        <v>2.1</v>
      </c>
      <c r="J13">
        <v>16</v>
      </c>
      <c r="K13">
        <v>578.70000000000005</v>
      </c>
      <c r="L13">
        <v>244.8</v>
      </c>
      <c r="M13">
        <v>251.1</v>
      </c>
      <c r="N13">
        <v>67.3</v>
      </c>
      <c r="O13">
        <v>15.4</v>
      </c>
      <c r="P13">
        <v>678.7</v>
      </c>
      <c r="Q13">
        <v>4139.6000000000004</v>
      </c>
      <c r="R13">
        <v>216</v>
      </c>
      <c r="S13">
        <v>792.6</v>
      </c>
      <c r="T13">
        <v>105.4</v>
      </c>
      <c r="U13">
        <v>407.6</v>
      </c>
      <c r="V13">
        <v>2059.9</v>
      </c>
      <c r="W13">
        <v>392.1</v>
      </c>
      <c r="X13">
        <v>2464.8000000000002</v>
      </c>
      <c r="Y13">
        <v>3195784</v>
      </c>
      <c r="Z13">
        <v>267012</v>
      </c>
      <c r="AA13">
        <v>6377</v>
      </c>
      <c r="AB13">
        <v>2178853</v>
      </c>
      <c r="AC13">
        <v>554552</v>
      </c>
      <c r="AD13">
        <v>188990</v>
      </c>
      <c r="AE13">
        <v>3873.8</v>
      </c>
      <c r="AF13">
        <v>264.2</v>
      </c>
      <c r="AG13">
        <v>121.6</v>
      </c>
      <c r="AH13">
        <v>22.3</v>
      </c>
      <c r="AI13">
        <v>14</v>
      </c>
      <c r="AJ13">
        <v>106.4</v>
      </c>
      <c r="AK13">
        <v>14523</v>
      </c>
      <c r="AL13">
        <v>5472</v>
      </c>
      <c r="AM13">
        <v>6890</v>
      </c>
      <c r="AN13">
        <v>940</v>
      </c>
      <c r="AO13">
        <v>86</v>
      </c>
      <c r="AP13">
        <v>1135</v>
      </c>
      <c r="AQ13">
        <v>276680</v>
      </c>
      <c r="AR13">
        <v>31110</v>
      </c>
      <c r="AS13">
        <v>191956</v>
      </c>
      <c r="AT13">
        <v>10688</v>
      </c>
      <c r="AU13">
        <v>304</v>
      </c>
      <c r="AV13">
        <v>42622</v>
      </c>
      <c r="AW13">
        <v>41680</v>
      </c>
      <c r="AX13" s="18">
        <f t="shared" si="0"/>
        <v>40530</v>
      </c>
      <c r="AY13" s="35">
        <f t="shared" si="1"/>
        <v>1150</v>
      </c>
      <c r="AZ13">
        <v>2246</v>
      </c>
      <c r="BA13" s="18">
        <f t="shared" si="2"/>
        <v>1731</v>
      </c>
      <c r="BB13" s="35">
        <f t="shared" si="3"/>
        <v>515</v>
      </c>
      <c r="BC13">
        <v>980</v>
      </c>
      <c r="BD13">
        <v>173</v>
      </c>
      <c r="BE13" s="30">
        <v>578</v>
      </c>
      <c r="BF13">
        <v>38446</v>
      </c>
      <c r="BG13" s="18">
        <f t="shared" si="4"/>
        <v>38439</v>
      </c>
      <c r="BH13" s="35">
        <f t="shared" si="5"/>
        <v>7</v>
      </c>
      <c r="BI13">
        <v>2732</v>
      </c>
      <c r="BJ13" s="13">
        <v>884</v>
      </c>
      <c r="BK13">
        <v>14523</v>
      </c>
      <c r="BL13">
        <v>20300</v>
      </c>
      <c r="BM13">
        <v>495</v>
      </c>
      <c r="BN13" s="18">
        <f t="shared" si="6"/>
        <v>360</v>
      </c>
      <c r="BO13" s="35">
        <f t="shared" si="7"/>
        <v>135</v>
      </c>
      <c r="BP13">
        <v>115</v>
      </c>
      <c r="BQ13">
        <v>24</v>
      </c>
      <c r="BR13">
        <v>125</v>
      </c>
      <c r="BS13">
        <v>96</v>
      </c>
      <c r="BT13">
        <v>1206340</v>
      </c>
      <c r="BU13">
        <v>50491</v>
      </c>
      <c r="BV13">
        <v>164691</v>
      </c>
      <c r="BW13">
        <v>18831</v>
      </c>
      <c r="BX13">
        <v>113</v>
      </c>
      <c r="BY13">
        <v>2450</v>
      </c>
      <c r="BZ13">
        <v>1062</v>
      </c>
      <c r="CA13">
        <v>1027</v>
      </c>
    </row>
    <row r="14" spans="1:79">
      <c r="A14" t="s">
        <v>81</v>
      </c>
      <c r="B14">
        <v>1209.0999999999999</v>
      </c>
      <c r="C14">
        <v>1189.9000000000001</v>
      </c>
      <c r="D14">
        <v>245.9</v>
      </c>
      <c r="E14">
        <v>19.2</v>
      </c>
      <c r="F14">
        <v>1818.6</v>
      </c>
      <c r="G14">
        <v>173.1</v>
      </c>
      <c r="H14">
        <v>166.8</v>
      </c>
      <c r="I14">
        <v>0.1</v>
      </c>
      <c r="J14">
        <v>6.2</v>
      </c>
      <c r="K14">
        <v>173.1</v>
      </c>
      <c r="L14">
        <v>73.7</v>
      </c>
      <c r="M14">
        <v>36.9</v>
      </c>
      <c r="N14">
        <v>55.5</v>
      </c>
      <c r="O14">
        <v>7</v>
      </c>
      <c r="P14">
        <v>260.39999999999998</v>
      </c>
      <c r="Q14">
        <v>1320.8</v>
      </c>
      <c r="R14">
        <v>681.8</v>
      </c>
      <c r="S14">
        <v>6079</v>
      </c>
      <c r="T14">
        <v>79.8</v>
      </c>
      <c r="U14">
        <v>156.80000000000001</v>
      </c>
      <c r="V14">
        <v>1179.4000000000001</v>
      </c>
      <c r="W14">
        <v>282.2</v>
      </c>
      <c r="X14">
        <v>685.1</v>
      </c>
      <c r="Y14">
        <v>1940981</v>
      </c>
      <c r="Z14">
        <v>135706</v>
      </c>
      <c r="AA14">
        <v>1115</v>
      </c>
      <c r="AB14">
        <v>902997</v>
      </c>
      <c r="AC14">
        <v>776893</v>
      </c>
      <c r="AD14">
        <v>124270</v>
      </c>
      <c r="AE14">
        <v>1243.8</v>
      </c>
      <c r="AF14">
        <v>65.400000000000006</v>
      </c>
      <c r="AG14">
        <v>19.600000000000001</v>
      </c>
      <c r="AH14">
        <v>3</v>
      </c>
      <c r="AI14">
        <v>4.5</v>
      </c>
      <c r="AJ14">
        <v>38.299999999999997</v>
      </c>
      <c r="AK14">
        <v>11681</v>
      </c>
      <c r="AL14">
        <v>4816</v>
      </c>
      <c r="AM14">
        <v>4612</v>
      </c>
      <c r="AN14">
        <v>72</v>
      </c>
      <c r="AO14">
        <v>1453</v>
      </c>
      <c r="AP14">
        <v>728</v>
      </c>
      <c r="AQ14">
        <v>247092</v>
      </c>
      <c r="AR14">
        <v>71381</v>
      </c>
      <c r="AS14">
        <v>120402</v>
      </c>
      <c r="AT14">
        <v>13461</v>
      </c>
      <c r="AU14">
        <v>10</v>
      </c>
      <c r="AV14">
        <v>41839</v>
      </c>
      <c r="AW14">
        <v>39593</v>
      </c>
      <c r="AX14" s="18">
        <f t="shared" si="0"/>
        <v>39037</v>
      </c>
      <c r="AY14" s="35">
        <f t="shared" si="1"/>
        <v>556</v>
      </c>
      <c r="AZ14">
        <v>1620</v>
      </c>
      <c r="BA14" s="18">
        <f t="shared" si="2"/>
        <v>1429</v>
      </c>
      <c r="BB14" s="35">
        <f t="shared" si="3"/>
        <v>191</v>
      </c>
      <c r="BC14">
        <v>614</v>
      </c>
      <c r="BD14">
        <v>196</v>
      </c>
      <c r="BE14" s="30">
        <v>619</v>
      </c>
      <c r="BF14">
        <v>37395</v>
      </c>
      <c r="BG14" s="18">
        <f t="shared" si="4"/>
        <v>37388</v>
      </c>
      <c r="BH14" s="35">
        <f t="shared" si="5"/>
        <v>7</v>
      </c>
      <c r="BI14">
        <v>3623</v>
      </c>
      <c r="BJ14" s="13">
        <v>1003</v>
      </c>
      <c r="BK14">
        <v>11681</v>
      </c>
      <c r="BL14">
        <v>21081</v>
      </c>
      <c r="BM14">
        <v>322</v>
      </c>
      <c r="BN14" s="18">
        <f t="shared" si="6"/>
        <v>220</v>
      </c>
      <c r="BO14" s="35">
        <f t="shared" si="7"/>
        <v>102</v>
      </c>
      <c r="BP14">
        <v>102</v>
      </c>
      <c r="BQ14">
        <v>14</v>
      </c>
      <c r="BR14">
        <v>95</v>
      </c>
      <c r="BS14">
        <v>9</v>
      </c>
      <c r="BT14">
        <v>514440</v>
      </c>
      <c r="BU14">
        <v>39375</v>
      </c>
      <c r="BV14">
        <v>113863</v>
      </c>
      <c r="BW14">
        <v>12599</v>
      </c>
      <c r="BX14">
        <v>125</v>
      </c>
      <c r="BY14">
        <v>1014</v>
      </c>
      <c r="BZ14">
        <v>1336</v>
      </c>
      <c r="CA14">
        <v>2392</v>
      </c>
    </row>
    <row r="15" spans="1:79">
      <c r="A15" t="s">
        <v>82</v>
      </c>
      <c r="B15">
        <v>889.7</v>
      </c>
      <c r="C15">
        <v>810.9</v>
      </c>
      <c r="D15">
        <v>216.6</v>
      </c>
      <c r="E15">
        <v>78.7</v>
      </c>
      <c r="F15">
        <v>1453.3</v>
      </c>
      <c r="G15">
        <v>274.7</v>
      </c>
      <c r="H15">
        <v>244.6</v>
      </c>
      <c r="I15">
        <v>21.5</v>
      </c>
      <c r="J15">
        <v>8.6</v>
      </c>
      <c r="K15">
        <v>274.7</v>
      </c>
      <c r="L15">
        <v>148</v>
      </c>
      <c r="M15">
        <v>80</v>
      </c>
      <c r="N15">
        <v>37.200000000000003</v>
      </c>
      <c r="O15">
        <v>9.6</v>
      </c>
      <c r="P15">
        <v>448.7</v>
      </c>
      <c r="Q15">
        <v>5563.5</v>
      </c>
      <c r="R15">
        <v>369.3</v>
      </c>
      <c r="S15">
        <v>4047.2</v>
      </c>
      <c r="T15">
        <v>66.099999999999994</v>
      </c>
      <c r="U15">
        <v>40.299999999999997</v>
      </c>
      <c r="V15">
        <v>1755.5</v>
      </c>
      <c r="W15">
        <v>333.7</v>
      </c>
      <c r="X15">
        <v>1709.1</v>
      </c>
      <c r="Y15">
        <v>2968658</v>
      </c>
      <c r="Z15">
        <v>226473</v>
      </c>
      <c r="AA15">
        <v>65846</v>
      </c>
      <c r="AB15">
        <v>1816061</v>
      </c>
      <c r="AC15">
        <v>496932</v>
      </c>
      <c r="AD15">
        <v>363346</v>
      </c>
      <c r="AE15">
        <v>4701.1000000000004</v>
      </c>
      <c r="AF15">
        <v>275.5</v>
      </c>
      <c r="AG15">
        <v>62.2</v>
      </c>
      <c r="AH15">
        <v>8</v>
      </c>
      <c r="AI15">
        <v>11</v>
      </c>
      <c r="AJ15">
        <v>194.3</v>
      </c>
      <c r="AK15">
        <v>15555</v>
      </c>
      <c r="AL15">
        <v>9269</v>
      </c>
      <c r="AM15">
        <v>25</v>
      </c>
      <c r="AN15">
        <v>2508</v>
      </c>
      <c r="AO15">
        <v>698</v>
      </c>
      <c r="AP15">
        <v>3055</v>
      </c>
      <c r="AQ15">
        <v>211040</v>
      </c>
      <c r="AR15">
        <v>15252</v>
      </c>
      <c r="AS15">
        <v>188767</v>
      </c>
      <c r="AT15">
        <v>4412</v>
      </c>
      <c r="AU15">
        <v>5</v>
      </c>
      <c r="AV15">
        <v>2603</v>
      </c>
      <c r="AW15">
        <v>32635</v>
      </c>
      <c r="AX15" s="18">
        <f t="shared" si="0"/>
        <v>32222</v>
      </c>
      <c r="AY15" s="35">
        <f t="shared" si="1"/>
        <v>413</v>
      </c>
      <c r="AZ15">
        <v>1354</v>
      </c>
      <c r="BA15" s="18">
        <f t="shared" si="2"/>
        <v>1230</v>
      </c>
      <c r="BB15" s="35">
        <f t="shared" si="3"/>
        <v>124</v>
      </c>
      <c r="BC15">
        <v>699</v>
      </c>
      <c r="BD15">
        <v>156</v>
      </c>
      <c r="BE15" s="30">
        <v>375</v>
      </c>
      <c r="BF15">
        <v>30583</v>
      </c>
      <c r="BG15" s="18">
        <f t="shared" si="4"/>
        <v>30577</v>
      </c>
      <c r="BH15" s="35">
        <f t="shared" si="5"/>
        <v>6</v>
      </c>
      <c r="BI15">
        <v>1825</v>
      </c>
      <c r="BJ15" s="13">
        <v>1303</v>
      </c>
      <c r="BK15">
        <v>15555</v>
      </c>
      <c r="BL15">
        <v>11894</v>
      </c>
      <c r="BM15">
        <v>499</v>
      </c>
      <c r="BN15" s="18">
        <f t="shared" si="6"/>
        <v>415</v>
      </c>
      <c r="BO15" s="35">
        <f t="shared" si="7"/>
        <v>84</v>
      </c>
      <c r="BP15">
        <v>128</v>
      </c>
      <c r="BQ15">
        <v>57</v>
      </c>
      <c r="BR15">
        <v>129</v>
      </c>
      <c r="BS15">
        <v>101</v>
      </c>
      <c r="BT15">
        <v>1397464</v>
      </c>
      <c r="BU15">
        <v>59516</v>
      </c>
      <c r="BV15">
        <v>175309</v>
      </c>
      <c r="BW15">
        <v>22504</v>
      </c>
      <c r="BX15">
        <v>119</v>
      </c>
      <c r="BY15">
        <v>1106</v>
      </c>
      <c r="BZ15">
        <v>814</v>
      </c>
      <c r="CA15">
        <v>2189</v>
      </c>
    </row>
    <row r="16" spans="1:79">
      <c r="A16" t="s">
        <v>83</v>
      </c>
      <c r="B16">
        <v>1326.8</v>
      </c>
      <c r="C16">
        <v>1324.6</v>
      </c>
      <c r="D16">
        <v>342.6</v>
      </c>
      <c r="E16">
        <v>2.2000000000000002</v>
      </c>
      <c r="F16">
        <v>3168.1</v>
      </c>
      <c r="G16">
        <v>172.5</v>
      </c>
      <c r="H16">
        <v>161</v>
      </c>
      <c r="I16">
        <v>2.1</v>
      </c>
      <c r="J16">
        <v>9.5</v>
      </c>
      <c r="K16">
        <v>172.5</v>
      </c>
      <c r="L16">
        <v>94.2</v>
      </c>
      <c r="M16">
        <v>29.4</v>
      </c>
      <c r="N16">
        <v>31.5</v>
      </c>
      <c r="O16">
        <v>17.5</v>
      </c>
      <c r="P16">
        <v>411.9</v>
      </c>
      <c r="Q16">
        <v>926.3</v>
      </c>
      <c r="R16">
        <v>922</v>
      </c>
      <c r="S16">
        <v>8769.6</v>
      </c>
      <c r="T16">
        <v>76.7</v>
      </c>
      <c r="U16">
        <v>186.3</v>
      </c>
      <c r="V16">
        <v>730.3</v>
      </c>
      <c r="W16">
        <v>235.2</v>
      </c>
      <c r="X16">
        <v>372.3</v>
      </c>
      <c r="Y16">
        <v>1410718</v>
      </c>
      <c r="Z16">
        <v>63222</v>
      </c>
      <c r="AA16" s="13"/>
      <c r="AB16">
        <v>895674</v>
      </c>
      <c r="AC16">
        <v>254111</v>
      </c>
      <c r="AD16">
        <v>197711</v>
      </c>
      <c r="AE16">
        <v>873.1</v>
      </c>
      <c r="AF16">
        <v>86.4</v>
      </c>
      <c r="AG16">
        <v>30.2</v>
      </c>
      <c r="AH16">
        <v>11.8</v>
      </c>
      <c r="AI16">
        <v>16.8</v>
      </c>
      <c r="AJ16">
        <v>27.6</v>
      </c>
      <c r="AK16">
        <v>16302</v>
      </c>
      <c r="AL16">
        <v>10511</v>
      </c>
      <c r="AM16">
        <v>1105</v>
      </c>
      <c r="AN16">
        <v>203</v>
      </c>
      <c r="AO16">
        <v>2916</v>
      </c>
      <c r="AP16">
        <v>1567</v>
      </c>
      <c r="AQ16">
        <v>346087</v>
      </c>
      <c r="AR16">
        <v>34676</v>
      </c>
      <c r="AS16">
        <v>304190</v>
      </c>
      <c r="AT16">
        <v>1765</v>
      </c>
      <c r="AU16">
        <v>2187</v>
      </c>
      <c r="AV16">
        <v>3269</v>
      </c>
      <c r="AW16">
        <v>30543</v>
      </c>
      <c r="AX16" s="18">
        <f t="shared" si="0"/>
        <v>30389</v>
      </c>
      <c r="AY16" s="35">
        <f t="shared" si="1"/>
        <v>154</v>
      </c>
      <c r="AZ16">
        <v>736</v>
      </c>
      <c r="BA16" s="18">
        <f t="shared" si="2"/>
        <v>714</v>
      </c>
      <c r="BB16" s="35">
        <f t="shared" si="3"/>
        <v>22</v>
      </c>
      <c r="BC16">
        <v>390</v>
      </c>
      <c r="BD16">
        <v>93</v>
      </c>
      <c r="BE16" s="30">
        <v>231</v>
      </c>
      <c r="BF16">
        <v>29416</v>
      </c>
      <c r="BG16" s="18">
        <f t="shared" si="4"/>
        <v>29416</v>
      </c>
      <c r="BH16" s="35">
        <f t="shared" si="5"/>
        <v>0</v>
      </c>
      <c r="BI16">
        <v>755</v>
      </c>
      <c r="BJ16" s="13">
        <v>875</v>
      </c>
      <c r="BK16">
        <v>16302</v>
      </c>
      <c r="BL16">
        <v>11484</v>
      </c>
      <c r="BM16">
        <v>282</v>
      </c>
      <c r="BN16" s="18">
        <f t="shared" si="6"/>
        <v>259</v>
      </c>
      <c r="BO16" s="35">
        <f t="shared" si="7"/>
        <v>23</v>
      </c>
      <c r="BP16">
        <v>101</v>
      </c>
      <c r="BQ16">
        <v>18</v>
      </c>
      <c r="BR16">
        <v>94</v>
      </c>
      <c r="BS16">
        <v>46</v>
      </c>
      <c r="BT16">
        <v>602380</v>
      </c>
      <c r="BU16">
        <v>48195</v>
      </c>
      <c r="BV16">
        <v>125430</v>
      </c>
      <c r="BW16">
        <v>15302</v>
      </c>
      <c r="BX16">
        <v>45</v>
      </c>
      <c r="BY16">
        <v>500</v>
      </c>
      <c r="BZ16">
        <v>951</v>
      </c>
      <c r="CA16">
        <v>2129</v>
      </c>
    </row>
    <row r="17" spans="1:79">
      <c r="A17" t="s">
        <v>84</v>
      </c>
      <c r="B17">
        <v>2059.6999999999998</v>
      </c>
      <c r="C17">
        <v>2039.7</v>
      </c>
      <c r="D17">
        <v>446.5</v>
      </c>
      <c r="E17">
        <v>20</v>
      </c>
      <c r="F17">
        <v>4568.5</v>
      </c>
      <c r="G17">
        <v>238.2</v>
      </c>
      <c r="H17">
        <v>232.4</v>
      </c>
      <c r="I17">
        <v>2.1</v>
      </c>
      <c r="J17">
        <v>3.7</v>
      </c>
      <c r="K17">
        <v>238.2</v>
      </c>
      <c r="L17">
        <v>165.7</v>
      </c>
      <c r="M17">
        <v>37.799999999999997</v>
      </c>
      <c r="N17">
        <v>30.1</v>
      </c>
      <c r="O17">
        <v>4.5</v>
      </c>
      <c r="P17">
        <v>528.29999999999995</v>
      </c>
      <c r="Q17">
        <v>2718.3</v>
      </c>
      <c r="R17">
        <v>586.20000000000005</v>
      </c>
      <c r="S17">
        <v>10334.299999999999</v>
      </c>
      <c r="T17">
        <v>102.5</v>
      </c>
      <c r="U17">
        <v>225.5</v>
      </c>
      <c r="V17">
        <v>1133.7</v>
      </c>
      <c r="W17">
        <v>372</v>
      </c>
      <c r="X17">
        <v>1089.9000000000001</v>
      </c>
      <c r="Y17">
        <v>2040867</v>
      </c>
      <c r="Z17">
        <v>155292</v>
      </c>
      <c r="AA17" s="13"/>
      <c r="AB17">
        <v>1450218</v>
      </c>
      <c r="AC17">
        <v>276346</v>
      </c>
      <c r="AD17">
        <v>159011</v>
      </c>
      <c r="AE17">
        <v>2201.6</v>
      </c>
      <c r="AF17">
        <v>106</v>
      </c>
      <c r="AG17">
        <v>27</v>
      </c>
      <c r="AH17">
        <v>13.2</v>
      </c>
      <c r="AI17">
        <v>14.5</v>
      </c>
      <c r="AJ17">
        <v>51.4</v>
      </c>
      <c r="AK17">
        <v>25889</v>
      </c>
      <c r="AL17">
        <v>12351</v>
      </c>
      <c r="AM17">
        <v>1312</v>
      </c>
      <c r="AN17">
        <v>1312</v>
      </c>
      <c r="AO17">
        <v>9543</v>
      </c>
      <c r="AP17">
        <v>1371</v>
      </c>
      <c r="AQ17">
        <v>47663</v>
      </c>
      <c r="AR17">
        <v>2977</v>
      </c>
      <c r="AS17">
        <v>40311</v>
      </c>
      <c r="AT17">
        <v>1244</v>
      </c>
      <c r="AU17">
        <v>315</v>
      </c>
      <c r="AV17">
        <v>2816</v>
      </c>
      <c r="AW17">
        <v>39392</v>
      </c>
      <c r="AX17" s="18">
        <f t="shared" si="0"/>
        <v>39082</v>
      </c>
      <c r="AY17" s="35">
        <f t="shared" si="1"/>
        <v>310</v>
      </c>
      <c r="AZ17">
        <v>1098</v>
      </c>
      <c r="BA17" s="18">
        <f t="shared" si="2"/>
        <v>1057</v>
      </c>
      <c r="BB17" s="35">
        <f t="shared" si="3"/>
        <v>41</v>
      </c>
      <c r="BC17">
        <v>621</v>
      </c>
      <c r="BD17">
        <v>149</v>
      </c>
      <c r="BE17" s="30">
        <v>287</v>
      </c>
      <c r="BF17">
        <v>37681</v>
      </c>
      <c r="BG17" s="18">
        <f t="shared" si="4"/>
        <v>37664</v>
      </c>
      <c r="BH17" s="35">
        <f t="shared" si="5"/>
        <v>17</v>
      </c>
      <c r="BI17">
        <v>703</v>
      </c>
      <c r="BJ17" s="13">
        <v>1587</v>
      </c>
      <c r="BK17">
        <v>25889</v>
      </c>
      <c r="BL17">
        <v>9485</v>
      </c>
      <c r="BM17">
        <v>439</v>
      </c>
      <c r="BN17" s="18">
        <f t="shared" si="6"/>
        <v>361</v>
      </c>
      <c r="BO17" s="35">
        <f t="shared" si="7"/>
        <v>78</v>
      </c>
      <c r="BP17">
        <v>149</v>
      </c>
      <c r="BQ17">
        <v>73</v>
      </c>
      <c r="BR17">
        <v>116</v>
      </c>
      <c r="BS17">
        <v>23</v>
      </c>
      <c r="BT17">
        <v>1044465</v>
      </c>
      <c r="BU17">
        <v>48684</v>
      </c>
      <c r="BV17">
        <v>133302</v>
      </c>
      <c r="BW17">
        <v>17393</v>
      </c>
      <c r="BX17">
        <v>101</v>
      </c>
      <c r="BY17">
        <v>8503</v>
      </c>
      <c r="BZ17">
        <v>850</v>
      </c>
      <c r="CA17">
        <v>4140</v>
      </c>
    </row>
    <row r="18" spans="1:79">
      <c r="A18" t="s">
        <v>85</v>
      </c>
      <c r="B18">
        <v>461.7</v>
      </c>
      <c r="C18">
        <v>355.8</v>
      </c>
      <c r="D18">
        <v>194</v>
      </c>
      <c r="E18">
        <v>105.9</v>
      </c>
      <c r="F18">
        <v>457.1</v>
      </c>
      <c r="G18">
        <v>231.6</v>
      </c>
      <c r="H18">
        <v>142.80000000000001</v>
      </c>
      <c r="I18">
        <v>68.2</v>
      </c>
      <c r="J18">
        <v>20.5</v>
      </c>
      <c r="K18">
        <v>231.6</v>
      </c>
      <c r="L18">
        <v>132.9</v>
      </c>
      <c r="M18">
        <v>34.299999999999997</v>
      </c>
      <c r="N18">
        <v>45</v>
      </c>
      <c r="O18">
        <v>19.399999999999999</v>
      </c>
      <c r="P18">
        <v>229.3</v>
      </c>
      <c r="Q18">
        <v>6539.3</v>
      </c>
      <c r="R18">
        <v>1199.4000000000001</v>
      </c>
      <c r="S18">
        <v>2443.6999999999998</v>
      </c>
      <c r="T18">
        <v>243.7</v>
      </c>
      <c r="U18">
        <v>245.5</v>
      </c>
      <c r="V18">
        <v>2863.1</v>
      </c>
      <c r="W18">
        <v>489.1</v>
      </c>
      <c r="X18">
        <v>1346.1</v>
      </c>
      <c r="Y18">
        <v>4140387</v>
      </c>
      <c r="Z18">
        <v>103408</v>
      </c>
      <c r="AA18">
        <v>832734</v>
      </c>
      <c r="AB18">
        <v>2418338</v>
      </c>
      <c r="AC18">
        <v>665930</v>
      </c>
      <c r="AD18">
        <v>119977</v>
      </c>
      <c r="AE18">
        <v>5271.4</v>
      </c>
      <c r="AF18">
        <v>349.6</v>
      </c>
      <c r="AG18">
        <v>92.1</v>
      </c>
      <c r="AH18">
        <v>28.9</v>
      </c>
      <c r="AI18">
        <v>26.4</v>
      </c>
      <c r="AJ18">
        <v>202.2</v>
      </c>
      <c r="AK18">
        <v>50598</v>
      </c>
      <c r="AL18">
        <v>29392</v>
      </c>
      <c r="AM18">
        <v>10677</v>
      </c>
      <c r="AN18">
        <v>3743</v>
      </c>
      <c r="AO18">
        <v>3383</v>
      </c>
      <c r="AP18">
        <v>3403</v>
      </c>
      <c r="AQ18">
        <v>326398</v>
      </c>
      <c r="AR18">
        <v>75745</v>
      </c>
      <c r="AS18">
        <v>238477</v>
      </c>
      <c r="AT18">
        <v>1535</v>
      </c>
      <c r="AU18">
        <v>34</v>
      </c>
      <c r="AV18">
        <v>10607</v>
      </c>
      <c r="AW18">
        <v>90070</v>
      </c>
      <c r="AX18" s="18">
        <f t="shared" si="0"/>
        <v>89458</v>
      </c>
      <c r="AY18" s="35">
        <f t="shared" si="1"/>
        <v>612</v>
      </c>
      <c r="AZ18">
        <v>2930</v>
      </c>
      <c r="BA18" s="18">
        <f t="shared" si="2"/>
        <v>2780</v>
      </c>
      <c r="BB18" s="35">
        <f t="shared" si="3"/>
        <v>150</v>
      </c>
      <c r="BC18">
        <v>1491</v>
      </c>
      <c r="BD18">
        <v>436</v>
      </c>
      <c r="BE18" s="30">
        <v>853</v>
      </c>
      <c r="BF18">
        <v>86289</v>
      </c>
      <c r="BG18" s="18">
        <f t="shared" si="4"/>
        <v>86230</v>
      </c>
      <c r="BH18" s="35">
        <f t="shared" si="5"/>
        <v>59</v>
      </c>
      <c r="BI18">
        <v>2529</v>
      </c>
      <c r="BJ18" s="13">
        <v>1445</v>
      </c>
      <c r="BK18">
        <v>50598</v>
      </c>
      <c r="BL18">
        <v>31658</v>
      </c>
      <c r="BM18">
        <v>497</v>
      </c>
      <c r="BN18" s="18">
        <f t="shared" si="6"/>
        <v>448</v>
      </c>
      <c r="BO18" s="35">
        <f t="shared" si="7"/>
        <v>49</v>
      </c>
      <c r="BP18">
        <v>185</v>
      </c>
      <c r="BQ18">
        <v>69</v>
      </c>
      <c r="BR18">
        <v>159</v>
      </c>
      <c r="BS18">
        <v>35</v>
      </c>
      <c r="BT18">
        <v>1542184</v>
      </c>
      <c r="BU18">
        <v>55320</v>
      </c>
      <c r="BV18">
        <v>155534</v>
      </c>
      <c r="BW18">
        <v>16048</v>
      </c>
      <c r="BX18">
        <v>108</v>
      </c>
      <c r="BY18">
        <v>2390</v>
      </c>
      <c r="BZ18">
        <v>881</v>
      </c>
      <c r="CA18">
        <v>3124</v>
      </c>
    </row>
    <row r="19" spans="1:79">
      <c r="A19" t="s">
        <v>86</v>
      </c>
      <c r="B19">
        <v>417.7</v>
      </c>
      <c r="C19">
        <v>323.5</v>
      </c>
      <c r="D19">
        <v>191.8</v>
      </c>
      <c r="E19">
        <v>94.1</v>
      </c>
      <c r="F19">
        <v>426.2</v>
      </c>
      <c r="G19">
        <v>214.2</v>
      </c>
      <c r="H19">
        <v>114.2</v>
      </c>
      <c r="I19">
        <v>85.7</v>
      </c>
      <c r="J19">
        <v>14.3</v>
      </c>
      <c r="K19">
        <v>214.2</v>
      </c>
      <c r="L19">
        <v>125.1</v>
      </c>
      <c r="M19">
        <v>20.6</v>
      </c>
      <c r="N19">
        <v>42.9</v>
      </c>
      <c r="O19">
        <v>25.4</v>
      </c>
      <c r="P19">
        <v>218.6</v>
      </c>
      <c r="Q19">
        <v>7579.6</v>
      </c>
      <c r="R19">
        <v>385.5</v>
      </c>
      <c r="S19">
        <v>4299.8999999999996</v>
      </c>
      <c r="T19">
        <v>250.5</v>
      </c>
      <c r="U19">
        <v>33.5</v>
      </c>
      <c r="V19">
        <v>2470.6999999999998</v>
      </c>
      <c r="W19">
        <v>415</v>
      </c>
      <c r="X19">
        <v>868.5</v>
      </c>
      <c r="Y19">
        <v>2136370</v>
      </c>
      <c r="Z19">
        <v>66802</v>
      </c>
      <c r="AA19">
        <v>340526</v>
      </c>
      <c r="AB19">
        <v>856264</v>
      </c>
      <c r="AC19">
        <v>740508</v>
      </c>
      <c r="AD19">
        <v>132270</v>
      </c>
      <c r="AE19">
        <v>5767.4</v>
      </c>
      <c r="AF19">
        <v>571.1</v>
      </c>
      <c r="AG19">
        <v>147.5</v>
      </c>
      <c r="AH19">
        <v>65.5</v>
      </c>
      <c r="AI19">
        <v>45.2</v>
      </c>
      <c r="AJ19">
        <v>312.89999999999998</v>
      </c>
      <c r="AK19">
        <v>59058</v>
      </c>
      <c r="AL19">
        <v>35380</v>
      </c>
      <c r="AM19">
        <v>4383</v>
      </c>
      <c r="AN19">
        <v>2316</v>
      </c>
      <c r="AO19">
        <v>12166</v>
      </c>
      <c r="AP19">
        <v>4813</v>
      </c>
      <c r="AQ19">
        <v>223400</v>
      </c>
      <c r="AR19">
        <v>19170</v>
      </c>
      <c r="AS19">
        <v>161095</v>
      </c>
      <c r="AT19">
        <v>862</v>
      </c>
      <c r="AU19">
        <v>3</v>
      </c>
      <c r="AV19">
        <v>42271</v>
      </c>
      <c r="AW19">
        <v>86702</v>
      </c>
      <c r="AX19" s="18">
        <f t="shared" si="0"/>
        <v>86313</v>
      </c>
      <c r="AY19" s="35">
        <f t="shared" si="1"/>
        <v>389</v>
      </c>
      <c r="AZ19">
        <v>2472</v>
      </c>
      <c r="BA19" s="18">
        <f t="shared" si="2"/>
        <v>2377</v>
      </c>
      <c r="BB19" s="35">
        <f t="shared" si="3"/>
        <v>95</v>
      </c>
      <c r="BC19">
        <v>1282</v>
      </c>
      <c r="BD19">
        <v>477</v>
      </c>
      <c r="BE19" s="30">
        <v>618</v>
      </c>
      <c r="BF19">
        <v>83517</v>
      </c>
      <c r="BG19" s="18">
        <f t="shared" si="4"/>
        <v>83508</v>
      </c>
      <c r="BH19" s="35">
        <f t="shared" si="5"/>
        <v>9</v>
      </c>
      <c r="BI19">
        <v>2018</v>
      </c>
      <c r="BJ19" s="13">
        <v>1983</v>
      </c>
      <c r="BK19">
        <v>59058</v>
      </c>
      <c r="BL19">
        <v>20449</v>
      </c>
      <c r="BM19">
        <v>568</v>
      </c>
      <c r="BN19" s="18">
        <f t="shared" si="6"/>
        <v>428</v>
      </c>
      <c r="BO19" s="35">
        <f t="shared" si="7"/>
        <v>140</v>
      </c>
      <c r="BP19">
        <v>185</v>
      </c>
      <c r="BQ19">
        <v>18</v>
      </c>
      <c r="BR19">
        <v>165</v>
      </c>
      <c r="BS19">
        <v>60</v>
      </c>
      <c r="BT19">
        <v>1699957</v>
      </c>
      <c r="BU19">
        <v>46992</v>
      </c>
      <c r="BV19">
        <v>168786</v>
      </c>
      <c r="BW19">
        <v>21009</v>
      </c>
      <c r="BX19">
        <v>47</v>
      </c>
      <c r="BY19">
        <v>78</v>
      </c>
      <c r="BZ19">
        <v>344</v>
      </c>
      <c r="CA19">
        <v>1200</v>
      </c>
    </row>
    <row r="20" spans="1:79">
      <c r="A20" t="s">
        <v>87</v>
      </c>
      <c r="B20">
        <v>918.2</v>
      </c>
      <c r="C20">
        <v>895.8</v>
      </c>
      <c r="D20">
        <v>283.7</v>
      </c>
      <c r="E20">
        <v>22.4</v>
      </c>
      <c r="F20">
        <v>1573.3</v>
      </c>
      <c r="G20">
        <v>340.2</v>
      </c>
      <c r="H20">
        <v>329</v>
      </c>
      <c r="I20">
        <v>4.2</v>
      </c>
      <c r="J20">
        <v>7</v>
      </c>
      <c r="K20">
        <v>340.2</v>
      </c>
      <c r="L20">
        <v>190.9</v>
      </c>
      <c r="M20">
        <v>70.099999999999994</v>
      </c>
      <c r="N20">
        <v>52.5</v>
      </c>
      <c r="O20">
        <v>26.6</v>
      </c>
      <c r="P20">
        <v>582.9</v>
      </c>
      <c r="Q20">
        <v>4752</v>
      </c>
      <c r="R20">
        <v>474.4</v>
      </c>
      <c r="S20">
        <v>9292.5</v>
      </c>
      <c r="T20">
        <v>98.2</v>
      </c>
      <c r="U20">
        <v>47</v>
      </c>
      <c r="V20">
        <v>1428.3</v>
      </c>
      <c r="W20">
        <v>364.4</v>
      </c>
      <c r="X20">
        <v>1949.1</v>
      </c>
      <c r="Y20">
        <v>3421650</v>
      </c>
      <c r="Z20">
        <v>454325</v>
      </c>
      <c r="AA20">
        <v>22410</v>
      </c>
      <c r="AB20">
        <v>2249615</v>
      </c>
      <c r="AC20">
        <v>547146</v>
      </c>
      <c r="AD20">
        <v>148154</v>
      </c>
      <c r="AE20">
        <v>3226.9</v>
      </c>
      <c r="AF20">
        <v>249.9</v>
      </c>
      <c r="AG20">
        <v>79.8</v>
      </c>
      <c r="AH20">
        <v>29.4</v>
      </c>
      <c r="AI20">
        <v>20.399999999999999</v>
      </c>
      <c r="AJ20">
        <v>120.4</v>
      </c>
      <c r="AK20">
        <v>21759</v>
      </c>
      <c r="AL20">
        <v>16923</v>
      </c>
      <c r="AM20">
        <v>733</v>
      </c>
      <c r="AN20">
        <v>2644</v>
      </c>
      <c r="AO20">
        <v>387</v>
      </c>
      <c r="AP20">
        <v>1072</v>
      </c>
      <c r="AQ20">
        <v>105260</v>
      </c>
      <c r="AR20">
        <v>25572</v>
      </c>
      <c r="AS20">
        <v>68982</v>
      </c>
      <c r="AT20">
        <v>447</v>
      </c>
      <c r="AU20">
        <v>114</v>
      </c>
      <c r="AV20">
        <v>10145</v>
      </c>
      <c r="AW20">
        <v>38897</v>
      </c>
      <c r="AX20" s="18">
        <f t="shared" si="0"/>
        <v>38555</v>
      </c>
      <c r="AY20" s="35">
        <f t="shared" si="1"/>
        <v>342</v>
      </c>
      <c r="AZ20">
        <v>1268</v>
      </c>
      <c r="BA20" s="18">
        <f t="shared" si="2"/>
        <v>1227</v>
      </c>
      <c r="BB20" s="35">
        <f t="shared" si="3"/>
        <v>41</v>
      </c>
      <c r="BC20">
        <v>605</v>
      </c>
      <c r="BD20">
        <v>173</v>
      </c>
      <c r="BE20" s="30">
        <v>449</v>
      </c>
      <c r="BF20">
        <v>37036</v>
      </c>
      <c r="BG20" s="18">
        <f t="shared" si="4"/>
        <v>36979</v>
      </c>
      <c r="BH20" s="35">
        <f t="shared" si="5"/>
        <v>57</v>
      </c>
      <c r="BI20">
        <v>1131</v>
      </c>
      <c r="BJ20" s="13">
        <v>1051</v>
      </c>
      <c r="BK20">
        <v>21759</v>
      </c>
      <c r="BL20">
        <v>13038</v>
      </c>
      <c r="BM20">
        <v>446</v>
      </c>
      <c r="BN20" s="18">
        <f t="shared" si="6"/>
        <v>349</v>
      </c>
      <c r="BO20" s="35">
        <f t="shared" si="7"/>
        <v>97</v>
      </c>
      <c r="BP20">
        <v>121</v>
      </c>
      <c r="BQ20">
        <v>53</v>
      </c>
      <c r="BR20">
        <v>102</v>
      </c>
      <c r="BS20">
        <v>73</v>
      </c>
      <c r="BT20">
        <v>1490235</v>
      </c>
      <c r="BU20">
        <v>48609</v>
      </c>
      <c r="BV20">
        <v>174567</v>
      </c>
      <c r="BW20">
        <v>24650</v>
      </c>
      <c r="BX20">
        <v>57</v>
      </c>
      <c r="BY20">
        <v>1035</v>
      </c>
      <c r="BZ20">
        <v>1733</v>
      </c>
      <c r="CA20">
        <v>1339</v>
      </c>
    </row>
    <row r="21" spans="1:79">
      <c r="A21" t="s">
        <v>88</v>
      </c>
      <c r="B21">
        <v>2087.5</v>
      </c>
      <c r="C21">
        <v>2079.6999999999998</v>
      </c>
      <c r="D21">
        <v>451.4</v>
      </c>
      <c r="E21">
        <v>7.8</v>
      </c>
      <c r="F21">
        <v>3185.3</v>
      </c>
      <c r="G21">
        <v>298.7</v>
      </c>
      <c r="H21">
        <v>286.89999999999998</v>
      </c>
      <c r="I21">
        <v>5.2</v>
      </c>
      <c r="J21">
        <v>6.6</v>
      </c>
      <c r="K21">
        <v>298.7</v>
      </c>
      <c r="L21">
        <v>193.5</v>
      </c>
      <c r="M21">
        <v>44.4</v>
      </c>
      <c r="N21">
        <v>46.1</v>
      </c>
      <c r="O21">
        <v>14.8</v>
      </c>
      <c r="P21">
        <v>455.8</v>
      </c>
      <c r="Q21">
        <v>3666.6</v>
      </c>
      <c r="R21">
        <v>906.2</v>
      </c>
      <c r="S21">
        <v>12612.5</v>
      </c>
      <c r="T21">
        <v>141.5</v>
      </c>
      <c r="U21">
        <v>230.9</v>
      </c>
      <c r="V21">
        <v>1645.2</v>
      </c>
      <c r="W21">
        <v>398.5</v>
      </c>
      <c r="X21">
        <v>1250.2</v>
      </c>
      <c r="Y21">
        <v>684706</v>
      </c>
      <c r="Z21">
        <v>77212</v>
      </c>
      <c r="AA21" s="13"/>
      <c r="AB21">
        <v>520435</v>
      </c>
      <c r="AC21">
        <v>29349</v>
      </c>
      <c r="AD21">
        <v>57710</v>
      </c>
      <c r="AE21">
        <v>2932</v>
      </c>
      <c r="AF21">
        <v>211.8</v>
      </c>
      <c r="AG21">
        <v>58.9</v>
      </c>
      <c r="AH21">
        <v>13.9</v>
      </c>
      <c r="AI21">
        <v>26.9</v>
      </c>
      <c r="AJ21">
        <v>112.1</v>
      </c>
      <c r="AK21">
        <v>35502</v>
      </c>
      <c r="AL21">
        <v>24550</v>
      </c>
      <c r="AM21">
        <v>2480</v>
      </c>
      <c r="AN21">
        <v>374</v>
      </c>
      <c r="AO21">
        <v>5225</v>
      </c>
      <c r="AP21">
        <v>2873</v>
      </c>
      <c r="AQ21">
        <v>298433</v>
      </c>
      <c r="AR21">
        <v>5063</v>
      </c>
      <c r="AS21">
        <v>216775</v>
      </c>
      <c r="AT21">
        <v>53424</v>
      </c>
      <c r="AU21" t="s">
        <v>71</v>
      </c>
      <c r="AV21">
        <v>23171</v>
      </c>
      <c r="AW21">
        <v>57611</v>
      </c>
      <c r="AX21" s="18">
        <f t="shared" si="0"/>
        <v>57405</v>
      </c>
      <c r="AY21" s="35">
        <f t="shared" si="1"/>
        <v>206</v>
      </c>
      <c r="AZ21">
        <v>1763</v>
      </c>
      <c r="BA21" s="18">
        <f t="shared" si="2"/>
        <v>1715</v>
      </c>
      <c r="BB21" s="35">
        <f t="shared" si="3"/>
        <v>48</v>
      </c>
      <c r="BC21">
        <v>822</v>
      </c>
      <c r="BD21">
        <v>225</v>
      </c>
      <c r="BE21" s="30">
        <v>668</v>
      </c>
      <c r="BF21">
        <v>55275</v>
      </c>
      <c r="BG21" s="18">
        <f t="shared" si="4"/>
        <v>55275</v>
      </c>
      <c r="BH21" s="35">
        <f t="shared" si="5"/>
        <v>0</v>
      </c>
      <c r="BI21">
        <v>1103</v>
      </c>
      <c r="BJ21" s="13">
        <v>1999</v>
      </c>
      <c r="BK21">
        <v>35502</v>
      </c>
      <c r="BL21">
        <v>16671</v>
      </c>
      <c r="BM21">
        <v>458</v>
      </c>
      <c r="BN21" s="18">
        <f t="shared" si="6"/>
        <v>415</v>
      </c>
      <c r="BO21" s="35">
        <f t="shared" si="7"/>
        <v>43</v>
      </c>
      <c r="BP21">
        <v>146</v>
      </c>
      <c r="BQ21">
        <v>62</v>
      </c>
      <c r="BR21">
        <v>140</v>
      </c>
      <c r="BS21">
        <v>67</v>
      </c>
      <c r="BT21">
        <v>1732340</v>
      </c>
      <c r="BU21">
        <v>70723</v>
      </c>
      <c r="BV21">
        <v>206064</v>
      </c>
      <c r="BW21">
        <v>28663</v>
      </c>
      <c r="BX21">
        <v>72</v>
      </c>
      <c r="BY21">
        <v>908</v>
      </c>
      <c r="BZ21">
        <v>451</v>
      </c>
      <c r="CA21">
        <v>3328</v>
      </c>
    </row>
    <row r="22" spans="1:79">
      <c r="A22" t="s">
        <v>89</v>
      </c>
      <c r="B22">
        <v>2349.1</v>
      </c>
      <c r="C22">
        <v>2339.4</v>
      </c>
      <c r="D22">
        <v>555.70000000000005</v>
      </c>
      <c r="E22">
        <v>9.6999999999999993</v>
      </c>
      <c r="F22">
        <v>1843.4</v>
      </c>
      <c r="G22">
        <v>411.3</v>
      </c>
      <c r="H22">
        <v>379.4</v>
      </c>
      <c r="I22">
        <v>5.4</v>
      </c>
      <c r="J22">
        <v>26.5</v>
      </c>
      <c r="K22">
        <v>411.3</v>
      </c>
      <c r="L22">
        <v>194.8</v>
      </c>
      <c r="M22">
        <v>73</v>
      </c>
      <c r="N22">
        <v>117.1</v>
      </c>
      <c r="O22">
        <v>26.3</v>
      </c>
      <c r="P22">
        <v>322.8</v>
      </c>
      <c r="Q22">
        <v>1914.7</v>
      </c>
      <c r="R22">
        <v>1282.9000000000001</v>
      </c>
      <c r="S22">
        <v>10698.5</v>
      </c>
      <c r="T22">
        <v>244</v>
      </c>
      <c r="U22">
        <v>176.3</v>
      </c>
      <c r="V22">
        <v>1849.6</v>
      </c>
      <c r="W22">
        <v>374.3</v>
      </c>
      <c r="X22">
        <v>1322.7</v>
      </c>
      <c r="Y22">
        <v>2577356</v>
      </c>
      <c r="Z22">
        <v>196177</v>
      </c>
      <c r="AA22" s="13"/>
      <c r="AB22">
        <v>2092772</v>
      </c>
      <c r="AC22">
        <v>171500</v>
      </c>
      <c r="AD22">
        <v>116907</v>
      </c>
      <c r="AE22">
        <v>1560.9</v>
      </c>
      <c r="AF22">
        <v>204.9</v>
      </c>
      <c r="AG22">
        <v>76.099999999999994</v>
      </c>
      <c r="AH22">
        <v>24.5</v>
      </c>
      <c r="AI22">
        <v>39.4</v>
      </c>
      <c r="AJ22">
        <v>64.900000000000006</v>
      </c>
      <c r="AK22">
        <v>24921</v>
      </c>
      <c r="AL22">
        <v>12604</v>
      </c>
      <c r="AM22">
        <v>2888</v>
      </c>
      <c r="AN22">
        <v>213</v>
      </c>
      <c r="AO22">
        <v>5202</v>
      </c>
      <c r="AP22">
        <v>4014</v>
      </c>
      <c r="AQ22">
        <v>305089</v>
      </c>
      <c r="AR22">
        <v>175457</v>
      </c>
      <c r="AS22">
        <v>96588</v>
      </c>
      <c r="AT22">
        <v>50</v>
      </c>
      <c r="AU22">
        <v>90</v>
      </c>
      <c r="AV22">
        <v>32904</v>
      </c>
      <c r="AW22">
        <v>66125</v>
      </c>
      <c r="AX22" s="18">
        <f t="shared" si="0"/>
        <v>65460</v>
      </c>
      <c r="AY22" s="35">
        <f t="shared" si="1"/>
        <v>665</v>
      </c>
      <c r="AZ22">
        <v>1895</v>
      </c>
      <c r="BA22" s="18">
        <f t="shared" si="2"/>
        <v>1812</v>
      </c>
      <c r="BB22" s="35">
        <f t="shared" si="3"/>
        <v>83</v>
      </c>
      <c r="BC22">
        <v>971</v>
      </c>
      <c r="BD22">
        <v>208</v>
      </c>
      <c r="BE22" s="30">
        <v>633</v>
      </c>
      <c r="BF22">
        <v>63170</v>
      </c>
      <c r="BG22" s="18">
        <f t="shared" si="4"/>
        <v>63163</v>
      </c>
      <c r="BH22" s="35">
        <f t="shared" si="5"/>
        <v>7</v>
      </c>
      <c r="BI22">
        <v>2816</v>
      </c>
      <c r="BJ22" s="13">
        <v>1153</v>
      </c>
      <c r="BK22">
        <v>24921</v>
      </c>
      <c r="BL22">
        <v>34273</v>
      </c>
      <c r="BM22">
        <v>662</v>
      </c>
      <c r="BN22" s="18">
        <f t="shared" si="6"/>
        <v>485</v>
      </c>
      <c r="BO22" s="35">
        <f t="shared" si="7"/>
        <v>177</v>
      </c>
      <c r="BP22">
        <v>147</v>
      </c>
      <c r="BQ22">
        <v>121</v>
      </c>
      <c r="BR22">
        <v>132</v>
      </c>
      <c r="BS22">
        <v>85</v>
      </c>
      <c r="BT22">
        <v>1706500</v>
      </c>
      <c r="BU22">
        <v>97879</v>
      </c>
      <c r="BV22">
        <v>280421</v>
      </c>
      <c r="BW22">
        <v>33917</v>
      </c>
      <c r="BX22">
        <v>121</v>
      </c>
      <c r="BY22">
        <v>1782</v>
      </c>
      <c r="BZ22">
        <v>4236</v>
      </c>
      <c r="CA22">
        <v>5999</v>
      </c>
    </row>
    <row r="23" spans="1:79">
      <c r="A23" t="s">
        <v>90</v>
      </c>
      <c r="B23">
        <v>2467</v>
      </c>
      <c r="C23">
        <v>2465.9</v>
      </c>
      <c r="D23">
        <v>426.3</v>
      </c>
      <c r="E23">
        <v>1.1000000000000001</v>
      </c>
      <c r="F23">
        <v>4914.3</v>
      </c>
      <c r="G23">
        <v>250.5</v>
      </c>
      <c r="H23">
        <v>240.2</v>
      </c>
      <c r="I23">
        <v>5.2</v>
      </c>
      <c r="J23">
        <v>5</v>
      </c>
      <c r="K23">
        <v>250.5</v>
      </c>
      <c r="L23">
        <v>179.6</v>
      </c>
      <c r="M23">
        <v>28.7</v>
      </c>
      <c r="N23">
        <v>35.799999999999997</v>
      </c>
      <c r="O23">
        <v>6.3</v>
      </c>
      <c r="P23">
        <v>499</v>
      </c>
      <c r="Q23">
        <v>3286.7</v>
      </c>
      <c r="R23">
        <v>1625.3</v>
      </c>
      <c r="S23">
        <v>16025.4</v>
      </c>
      <c r="T23">
        <v>287</v>
      </c>
      <c r="U23">
        <v>125.6</v>
      </c>
      <c r="V23">
        <v>1034.5999999999999</v>
      </c>
      <c r="W23">
        <v>416</v>
      </c>
      <c r="X23">
        <v>750.7</v>
      </c>
      <c r="Y23">
        <v>1044628</v>
      </c>
      <c r="Z23">
        <v>80767</v>
      </c>
      <c r="AA23" s="13"/>
      <c r="AB23">
        <v>762239</v>
      </c>
      <c r="AC23">
        <v>96746</v>
      </c>
      <c r="AD23">
        <v>104876</v>
      </c>
      <c r="AE23">
        <v>1778.3</v>
      </c>
      <c r="AF23">
        <v>247.9</v>
      </c>
      <c r="AG23">
        <v>62.7</v>
      </c>
      <c r="AH23">
        <v>25.4</v>
      </c>
      <c r="AI23">
        <v>47.8</v>
      </c>
      <c r="AJ23">
        <v>112</v>
      </c>
      <c r="AK23">
        <v>17814</v>
      </c>
      <c r="AL23">
        <v>12930</v>
      </c>
      <c r="AM23">
        <v>1306</v>
      </c>
      <c r="AN23">
        <v>32</v>
      </c>
      <c r="AO23">
        <v>3421</v>
      </c>
      <c r="AP23">
        <v>125</v>
      </c>
      <c r="AQ23">
        <v>83097</v>
      </c>
      <c r="AR23">
        <v>72</v>
      </c>
      <c r="AS23">
        <v>25219</v>
      </c>
      <c r="AT23">
        <v>4794</v>
      </c>
      <c r="AU23" t="s">
        <v>71</v>
      </c>
      <c r="AV23">
        <v>53013</v>
      </c>
      <c r="AW23">
        <v>34685</v>
      </c>
      <c r="AX23" s="18">
        <f t="shared" si="0"/>
        <v>34522</v>
      </c>
      <c r="AY23" s="35">
        <f t="shared" si="1"/>
        <v>163</v>
      </c>
      <c r="AZ23">
        <v>929</v>
      </c>
      <c r="BA23" s="18">
        <f t="shared" si="2"/>
        <v>891</v>
      </c>
      <c r="BB23" s="35">
        <f t="shared" si="3"/>
        <v>38</v>
      </c>
      <c r="BC23">
        <v>464</v>
      </c>
      <c r="BD23">
        <v>126</v>
      </c>
      <c r="BE23" s="30">
        <v>301</v>
      </c>
      <c r="BF23">
        <v>33324</v>
      </c>
      <c r="BG23" s="18">
        <f t="shared" si="4"/>
        <v>33324</v>
      </c>
      <c r="BH23" s="35">
        <f t="shared" si="5"/>
        <v>0</v>
      </c>
      <c r="BI23">
        <v>360</v>
      </c>
      <c r="BJ23" s="13">
        <v>1265</v>
      </c>
      <c r="BK23">
        <v>17814</v>
      </c>
      <c r="BL23">
        <v>13885</v>
      </c>
      <c r="BM23">
        <v>352</v>
      </c>
      <c r="BN23" s="18">
        <f t="shared" si="6"/>
        <v>307</v>
      </c>
      <c r="BO23" s="35">
        <f t="shared" si="7"/>
        <v>45</v>
      </c>
      <c r="BP23">
        <v>122</v>
      </c>
      <c r="BQ23">
        <v>24</v>
      </c>
      <c r="BR23">
        <v>106</v>
      </c>
      <c r="BS23">
        <v>55</v>
      </c>
      <c r="BT23">
        <v>1005915</v>
      </c>
      <c r="BU23">
        <v>59270</v>
      </c>
      <c r="BV23">
        <v>205939</v>
      </c>
      <c r="BW23">
        <v>25624</v>
      </c>
      <c r="BX23">
        <v>23</v>
      </c>
      <c r="BY23">
        <v>377</v>
      </c>
      <c r="BZ23">
        <v>921</v>
      </c>
      <c r="CA23">
        <v>1432</v>
      </c>
    </row>
    <row r="24" spans="1:79">
      <c r="A24" t="s">
        <v>91</v>
      </c>
      <c r="B24">
        <v>439.7</v>
      </c>
      <c r="C24">
        <v>431.8</v>
      </c>
      <c r="D24">
        <v>115.9</v>
      </c>
      <c r="E24">
        <v>7.9</v>
      </c>
      <c r="F24">
        <v>4205.6000000000004</v>
      </c>
      <c r="G24">
        <v>44.4</v>
      </c>
      <c r="H24">
        <v>42.2</v>
      </c>
      <c r="I24">
        <v>1.4</v>
      </c>
      <c r="J24">
        <v>0.8</v>
      </c>
      <c r="K24">
        <v>44.4</v>
      </c>
      <c r="L24">
        <v>29.9</v>
      </c>
      <c r="M24">
        <v>1.7</v>
      </c>
      <c r="N24">
        <v>10.4</v>
      </c>
      <c r="O24">
        <v>2.4</v>
      </c>
      <c r="P24">
        <v>424.7</v>
      </c>
      <c r="Q24">
        <v>494.8</v>
      </c>
      <c r="R24">
        <v>1220.5999999999999</v>
      </c>
      <c r="S24">
        <v>1142.3</v>
      </c>
      <c r="T24">
        <v>18.3</v>
      </c>
      <c r="U24">
        <v>121.5</v>
      </c>
      <c r="V24">
        <v>253.2</v>
      </c>
      <c r="W24">
        <v>65.2</v>
      </c>
      <c r="X24">
        <v>184</v>
      </c>
      <c r="Y24">
        <v>291842</v>
      </c>
      <c r="Z24">
        <v>12776</v>
      </c>
      <c r="AA24" s="13"/>
      <c r="AB24">
        <v>247219</v>
      </c>
      <c r="AC24">
        <v>22462</v>
      </c>
      <c r="AD24">
        <v>9385</v>
      </c>
      <c r="AE24">
        <v>336.3</v>
      </c>
      <c r="AF24">
        <v>36.4</v>
      </c>
      <c r="AG24">
        <v>9.4</v>
      </c>
      <c r="AH24">
        <v>2.2999999999999998</v>
      </c>
      <c r="AI24">
        <v>6.6</v>
      </c>
      <c r="AJ24">
        <v>18</v>
      </c>
      <c r="AK24">
        <v>2121</v>
      </c>
      <c r="AL24">
        <v>844</v>
      </c>
      <c r="AM24">
        <v>574</v>
      </c>
      <c r="AN24">
        <v>22</v>
      </c>
      <c r="AO24">
        <v>512</v>
      </c>
      <c r="AP24">
        <v>169</v>
      </c>
      <c r="AQ24">
        <v>1508</v>
      </c>
      <c r="AR24">
        <v>583</v>
      </c>
      <c r="AS24">
        <v>730</v>
      </c>
      <c r="AT24" t="s">
        <v>71</v>
      </c>
      <c r="AU24" t="s">
        <v>71</v>
      </c>
      <c r="AV24">
        <v>195</v>
      </c>
      <c r="AW24">
        <v>6382</v>
      </c>
      <c r="AX24" s="18">
        <f t="shared" si="0"/>
        <v>6300</v>
      </c>
      <c r="AY24" s="35">
        <f t="shared" si="1"/>
        <v>82</v>
      </c>
      <c r="AZ24">
        <v>247</v>
      </c>
      <c r="BA24" s="18">
        <f t="shared" si="2"/>
        <v>236</v>
      </c>
      <c r="BB24" s="35">
        <f t="shared" si="3"/>
        <v>11</v>
      </c>
      <c r="BC24">
        <v>127</v>
      </c>
      <c r="BD24">
        <v>24</v>
      </c>
      <c r="BE24" s="30">
        <v>85</v>
      </c>
      <c r="BF24">
        <v>5999</v>
      </c>
      <c r="BG24" s="18">
        <f t="shared" si="4"/>
        <v>5995</v>
      </c>
      <c r="BH24" s="35">
        <f t="shared" si="5"/>
        <v>4</v>
      </c>
      <c r="BI24">
        <v>216</v>
      </c>
      <c r="BJ24" s="13">
        <v>296</v>
      </c>
      <c r="BK24">
        <v>2121</v>
      </c>
      <c r="BL24">
        <v>3362</v>
      </c>
      <c r="BM24">
        <v>111</v>
      </c>
      <c r="BN24" s="18">
        <f t="shared" si="6"/>
        <v>69</v>
      </c>
      <c r="BO24" s="35">
        <f t="shared" si="7"/>
        <v>42</v>
      </c>
      <c r="BP24">
        <v>27</v>
      </c>
      <c r="BQ24">
        <v>16</v>
      </c>
      <c r="BR24">
        <v>26</v>
      </c>
      <c r="BS24" s="13"/>
      <c r="BT24">
        <v>175979</v>
      </c>
      <c r="BU24">
        <v>8004</v>
      </c>
      <c r="BV24">
        <v>30477</v>
      </c>
      <c r="BW24">
        <v>4385</v>
      </c>
      <c r="BX24">
        <v>2</v>
      </c>
      <c r="BY24">
        <v>127</v>
      </c>
      <c r="BZ24">
        <v>33</v>
      </c>
      <c r="CA24">
        <v>44</v>
      </c>
    </row>
    <row r="25" spans="1:79">
      <c r="A25" t="s">
        <v>92</v>
      </c>
      <c r="B25">
        <v>469.8</v>
      </c>
      <c r="C25">
        <v>469.8</v>
      </c>
      <c r="D25">
        <v>96.2</v>
      </c>
      <c r="E25" t="s">
        <v>71</v>
      </c>
      <c r="F25">
        <v>1472.5</v>
      </c>
      <c r="G25">
        <v>71.3</v>
      </c>
      <c r="H25">
        <v>64.7</v>
      </c>
      <c r="I25">
        <v>0.3</v>
      </c>
      <c r="J25">
        <v>6.3</v>
      </c>
      <c r="K25">
        <v>71.3</v>
      </c>
      <c r="L25">
        <v>25.1</v>
      </c>
      <c r="M25">
        <v>21.8</v>
      </c>
      <c r="N25">
        <v>22.7</v>
      </c>
      <c r="O25">
        <v>1.7</v>
      </c>
      <c r="P25">
        <v>223.5</v>
      </c>
      <c r="Q25">
        <v>1869.6</v>
      </c>
      <c r="R25">
        <v>280.2</v>
      </c>
      <c r="S25">
        <v>4671</v>
      </c>
      <c r="T25">
        <v>27.5</v>
      </c>
      <c r="U25">
        <v>14.5</v>
      </c>
      <c r="V25">
        <v>640</v>
      </c>
      <c r="W25">
        <v>184.6</v>
      </c>
      <c r="X25">
        <v>273.3</v>
      </c>
      <c r="Y25">
        <v>1580317</v>
      </c>
      <c r="Z25">
        <v>275939</v>
      </c>
      <c r="AA25">
        <v>1100</v>
      </c>
      <c r="AB25">
        <v>770490</v>
      </c>
      <c r="AC25">
        <v>409854</v>
      </c>
      <c r="AD25">
        <v>122934</v>
      </c>
      <c r="AE25">
        <v>698.4</v>
      </c>
      <c r="AF25">
        <v>88.2</v>
      </c>
      <c r="AG25">
        <v>41.6</v>
      </c>
      <c r="AH25">
        <v>15.1</v>
      </c>
      <c r="AI25">
        <v>5.0999999999999996</v>
      </c>
      <c r="AJ25">
        <v>26.4</v>
      </c>
      <c r="AK25">
        <v>9353</v>
      </c>
      <c r="AL25">
        <v>7169</v>
      </c>
      <c r="AM25">
        <v>786</v>
      </c>
      <c r="AN25">
        <v>152</v>
      </c>
      <c r="AO25">
        <v>404</v>
      </c>
      <c r="AP25">
        <v>842</v>
      </c>
      <c r="AQ25">
        <v>10537</v>
      </c>
      <c r="AR25">
        <v>113</v>
      </c>
      <c r="AS25">
        <v>10410</v>
      </c>
      <c r="AT25" s="13">
        <v>0</v>
      </c>
      <c r="AU25" s="13">
        <v>8</v>
      </c>
      <c r="AV25">
        <v>6</v>
      </c>
      <c r="AW25">
        <v>23815</v>
      </c>
      <c r="AX25" s="18">
        <f t="shared" si="0"/>
        <v>23609</v>
      </c>
      <c r="AY25" s="35">
        <f t="shared" si="1"/>
        <v>206</v>
      </c>
      <c r="AZ25">
        <v>851</v>
      </c>
      <c r="BA25" s="18">
        <f t="shared" si="2"/>
        <v>782</v>
      </c>
      <c r="BB25" s="35">
        <f t="shared" si="3"/>
        <v>69</v>
      </c>
      <c r="BC25">
        <v>433</v>
      </c>
      <c r="BD25">
        <v>143</v>
      </c>
      <c r="BE25" s="30">
        <v>206</v>
      </c>
      <c r="BF25">
        <v>22734</v>
      </c>
      <c r="BG25" s="18">
        <f t="shared" si="4"/>
        <v>22732</v>
      </c>
      <c r="BH25" s="35">
        <f t="shared" si="5"/>
        <v>2</v>
      </c>
      <c r="BI25">
        <v>620</v>
      </c>
      <c r="BJ25" s="13">
        <v>787</v>
      </c>
      <c r="BK25">
        <v>9353</v>
      </c>
      <c r="BL25">
        <v>11972</v>
      </c>
      <c r="BM25">
        <v>121</v>
      </c>
      <c r="BN25" s="18">
        <f t="shared" si="6"/>
        <v>95</v>
      </c>
      <c r="BO25" s="35">
        <f t="shared" si="7"/>
        <v>26</v>
      </c>
      <c r="BP25">
        <v>41</v>
      </c>
      <c r="BQ25">
        <v>8</v>
      </c>
      <c r="BR25">
        <v>40</v>
      </c>
      <c r="BS25">
        <v>6</v>
      </c>
      <c r="BT25">
        <v>429462</v>
      </c>
      <c r="BU25">
        <v>24196</v>
      </c>
      <c r="BV25">
        <v>65315</v>
      </c>
      <c r="BW25">
        <v>6565</v>
      </c>
      <c r="BX25">
        <v>115</v>
      </c>
      <c r="BY25">
        <v>3664</v>
      </c>
      <c r="BZ25">
        <v>483</v>
      </c>
      <c r="CA25">
        <v>251</v>
      </c>
    </row>
    <row r="26" spans="1:79">
      <c r="A26" t="s">
        <v>93</v>
      </c>
      <c r="B26">
        <v>2434.4</v>
      </c>
      <c r="C26">
        <v>2433.1</v>
      </c>
      <c r="D26">
        <v>605.9</v>
      </c>
      <c r="E26">
        <v>1.2</v>
      </c>
      <c r="F26">
        <v>2909.9</v>
      </c>
      <c r="G26">
        <v>255.2</v>
      </c>
      <c r="H26">
        <v>241.6</v>
      </c>
      <c r="I26">
        <v>5.3</v>
      </c>
      <c r="J26">
        <v>8.4</v>
      </c>
      <c r="K26">
        <v>255.2</v>
      </c>
      <c r="L26">
        <v>163</v>
      </c>
      <c r="M26">
        <v>20.7</v>
      </c>
      <c r="N26">
        <v>61.3</v>
      </c>
      <c r="O26">
        <v>10.199999999999999</v>
      </c>
      <c r="P26">
        <v>305</v>
      </c>
      <c r="Q26">
        <v>5252.6</v>
      </c>
      <c r="R26">
        <v>1185.4000000000001</v>
      </c>
      <c r="S26">
        <v>25387.1</v>
      </c>
      <c r="T26">
        <v>9607.1</v>
      </c>
      <c r="U26">
        <v>1228.4000000000001</v>
      </c>
      <c r="V26">
        <v>1872.1</v>
      </c>
      <c r="W26">
        <v>567</v>
      </c>
      <c r="X26">
        <v>1080.5</v>
      </c>
      <c r="Y26">
        <v>6209515</v>
      </c>
      <c r="Z26">
        <v>823091</v>
      </c>
      <c r="AA26">
        <v>33945</v>
      </c>
      <c r="AB26">
        <v>3127361</v>
      </c>
      <c r="AC26">
        <v>1140626</v>
      </c>
      <c r="AD26">
        <v>1084492</v>
      </c>
      <c r="AE26">
        <v>3025.7</v>
      </c>
      <c r="AF26">
        <v>200.3</v>
      </c>
      <c r="AG26">
        <v>73.099999999999994</v>
      </c>
      <c r="AH26">
        <v>30.5</v>
      </c>
      <c r="AI26">
        <v>13.8</v>
      </c>
      <c r="AJ26">
        <v>82.9</v>
      </c>
      <c r="AK26">
        <v>40229</v>
      </c>
      <c r="AL26">
        <v>23118</v>
      </c>
      <c r="AM26">
        <v>3153</v>
      </c>
      <c r="AN26">
        <v>1328</v>
      </c>
      <c r="AO26">
        <v>7996</v>
      </c>
      <c r="AP26">
        <v>4634</v>
      </c>
      <c r="AQ26">
        <v>430025</v>
      </c>
      <c r="AR26">
        <v>72276</v>
      </c>
      <c r="AS26">
        <v>345353</v>
      </c>
      <c r="AT26">
        <v>13</v>
      </c>
      <c r="AU26" t="s">
        <v>71</v>
      </c>
      <c r="AV26">
        <v>12382</v>
      </c>
      <c r="AW26">
        <v>74797</v>
      </c>
      <c r="AX26" s="18">
        <f t="shared" si="0"/>
        <v>74352</v>
      </c>
      <c r="AY26" s="35">
        <f t="shared" si="1"/>
        <v>445</v>
      </c>
      <c r="AZ26">
        <v>2421</v>
      </c>
      <c r="BA26" s="18">
        <f t="shared" si="2"/>
        <v>2314</v>
      </c>
      <c r="BB26" s="35">
        <f t="shared" si="3"/>
        <v>107</v>
      </c>
      <c r="BC26">
        <v>1341</v>
      </c>
      <c r="BD26">
        <v>284</v>
      </c>
      <c r="BE26" s="30">
        <v>689</v>
      </c>
      <c r="BF26">
        <v>71467</v>
      </c>
      <c r="BG26" s="18">
        <f t="shared" si="4"/>
        <v>71454</v>
      </c>
      <c r="BH26" s="35">
        <f t="shared" si="5"/>
        <v>13</v>
      </c>
      <c r="BI26">
        <v>1101</v>
      </c>
      <c r="BJ26" s="13">
        <v>2744</v>
      </c>
      <c r="BK26">
        <v>40229</v>
      </c>
      <c r="BL26">
        <v>27380</v>
      </c>
      <c r="BM26">
        <v>672</v>
      </c>
      <c r="BN26" s="18">
        <f t="shared" si="6"/>
        <v>584</v>
      </c>
      <c r="BO26" s="35">
        <f t="shared" si="7"/>
        <v>88</v>
      </c>
      <c r="BP26">
        <v>212</v>
      </c>
      <c r="BQ26">
        <v>20</v>
      </c>
      <c r="BR26">
        <v>202</v>
      </c>
      <c r="BS26">
        <v>150</v>
      </c>
      <c r="BT26">
        <v>1473764</v>
      </c>
      <c r="BU26">
        <v>67372</v>
      </c>
      <c r="BV26">
        <v>193442</v>
      </c>
      <c r="BW26">
        <v>21037</v>
      </c>
      <c r="BX26">
        <v>81</v>
      </c>
      <c r="BY26">
        <v>784</v>
      </c>
      <c r="BZ26">
        <v>91</v>
      </c>
      <c r="CA26">
        <v>836</v>
      </c>
    </row>
    <row r="27" spans="1:79">
      <c r="A27" t="s">
        <v>94</v>
      </c>
      <c r="B27">
        <v>969.1</v>
      </c>
      <c r="C27">
        <v>969.1</v>
      </c>
      <c r="D27">
        <v>238</v>
      </c>
      <c r="E27" t="s">
        <v>71</v>
      </c>
      <c r="F27">
        <v>2509</v>
      </c>
      <c r="G27">
        <v>93</v>
      </c>
      <c r="H27">
        <v>90.3</v>
      </c>
      <c r="I27">
        <v>1.2</v>
      </c>
      <c r="J27">
        <v>1.5</v>
      </c>
      <c r="K27">
        <v>93</v>
      </c>
      <c r="L27">
        <v>59.5</v>
      </c>
      <c r="M27">
        <v>10.3</v>
      </c>
      <c r="N27">
        <v>22.1</v>
      </c>
      <c r="O27">
        <v>1.1000000000000001</v>
      </c>
      <c r="P27">
        <v>240.8</v>
      </c>
      <c r="Q27">
        <v>3415.2</v>
      </c>
      <c r="R27">
        <v>563.29999999999995</v>
      </c>
      <c r="S27">
        <v>11213.6</v>
      </c>
      <c r="T27">
        <v>195.2</v>
      </c>
      <c r="U27">
        <v>7</v>
      </c>
      <c r="V27">
        <v>788.1</v>
      </c>
      <c r="W27">
        <v>373.7</v>
      </c>
      <c r="X27">
        <v>264.89999999999998</v>
      </c>
      <c r="Y27">
        <v>604915</v>
      </c>
      <c r="Z27">
        <v>116190</v>
      </c>
      <c r="AA27">
        <v>5472</v>
      </c>
      <c r="AB27">
        <v>418125</v>
      </c>
      <c r="AC27">
        <v>19070</v>
      </c>
      <c r="AD27">
        <v>46058</v>
      </c>
      <c r="AE27">
        <v>1244.0999999999999</v>
      </c>
      <c r="AF27">
        <v>73.599999999999994</v>
      </c>
      <c r="AG27">
        <v>29.4</v>
      </c>
      <c r="AH27">
        <v>7.9</v>
      </c>
      <c r="AI27">
        <v>6.5</v>
      </c>
      <c r="AJ27">
        <v>29.7</v>
      </c>
      <c r="AK27">
        <v>18972</v>
      </c>
      <c r="AL27">
        <v>11623</v>
      </c>
      <c r="AM27">
        <v>516</v>
      </c>
      <c r="AN27">
        <v>230</v>
      </c>
      <c r="AO27">
        <v>3233</v>
      </c>
      <c r="AP27">
        <v>3370</v>
      </c>
      <c r="AQ27">
        <v>153814</v>
      </c>
      <c r="AR27">
        <v>59376</v>
      </c>
      <c r="AS27">
        <v>20892</v>
      </c>
      <c r="AT27" s="13"/>
      <c r="AU27">
        <v>5</v>
      </c>
      <c r="AV27">
        <v>73541</v>
      </c>
      <c r="AW27">
        <v>30869</v>
      </c>
      <c r="AX27" s="18">
        <f t="shared" si="0"/>
        <v>30672</v>
      </c>
      <c r="AY27" s="35">
        <f t="shared" si="1"/>
        <v>197</v>
      </c>
      <c r="AZ27">
        <v>1572</v>
      </c>
      <c r="BA27" s="18">
        <f t="shared" si="2"/>
        <v>1538</v>
      </c>
      <c r="BB27" s="35">
        <f t="shared" si="3"/>
        <v>34</v>
      </c>
      <c r="BC27">
        <v>1029</v>
      </c>
      <c r="BD27">
        <v>156</v>
      </c>
      <c r="BE27" s="30">
        <v>353</v>
      </c>
      <c r="BF27">
        <v>28951</v>
      </c>
      <c r="BG27" s="18">
        <f t="shared" si="4"/>
        <v>28908</v>
      </c>
      <c r="BH27" s="35">
        <f t="shared" si="5"/>
        <v>43</v>
      </c>
      <c r="BI27">
        <v>1097</v>
      </c>
      <c r="BJ27" s="13">
        <v>1299</v>
      </c>
      <c r="BK27">
        <v>18972</v>
      </c>
      <c r="BL27" s="13">
        <v>7540</v>
      </c>
      <c r="BM27">
        <v>282</v>
      </c>
      <c r="BN27" s="18">
        <f t="shared" si="6"/>
        <v>226</v>
      </c>
      <c r="BO27" s="35">
        <f t="shared" si="7"/>
        <v>56</v>
      </c>
      <c r="BP27">
        <v>101</v>
      </c>
      <c r="BQ27">
        <v>4</v>
      </c>
      <c r="BR27">
        <v>99</v>
      </c>
      <c r="BS27">
        <v>22</v>
      </c>
      <c r="BT27">
        <v>1179543</v>
      </c>
      <c r="BU27">
        <v>34203</v>
      </c>
      <c r="BV27">
        <v>107413</v>
      </c>
      <c r="BW27">
        <v>15993</v>
      </c>
      <c r="BX27">
        <v>14</v>
      </c>
      <c r="BY27">
        <v>329</v>
      </c>
      <c r="BZ27">
        <v>397</v>
      </c>
      <c r="CA27">
        <v>725</v>
      </c>
    </row>
    <row r="28" spans="1:79">
      <c r="A28" t="s">
        <v>95</v>
      </c>
      <c r="B28">
        <v>1760.4</v>
      </c>
      <c r="C28">
        <v>1760.4</v>
      </c>
      <c r="D28">
        <v>595.70000000000005</v>
      </c>
      <c r="E28" t="s">
        <v>71</v>
      </c>
      <c r="F28">
        <v>3774.4</v>
      </c>
      <c r="G28">
        <v>160.5</v>
      </c>
      <c r="H28">
        <v>152.1</v>
      </c>
      <c r="I28">
        <v>4.7</v>
      </c>
      <c r="J28">
        <v>3.7</v>
      </c>
      <c r="K28">
        <v>160.5</v>
      </c>
      <c r="L28">
        <v>113.3</v>
      </c>
      <c r="M28">
        <v>12.4</v>
      </c>
      <c r="N28">
        <v>26.8</v>
      </c>
      <c r="O28">
        <v>8.1</v>
      </c>
      <c r="P28">
        <v>344.1</v>
      </c>
      <c r="Q28">
        <v>5484.5</v>
      </c>
      <c r="R28">
        <v>2517.1</v>
      </c>
      <c r="S28">
        <v>24797.599999999999</v>
      </c>
      <c r="T28">
        <v>1311.8</v>
      </c>
      <c r="U28">
        <v>35</v>
      </c>
      <c r="V28">
        <v>1116</v>
      </c>
      <c r="W28">
        <v>573.79999999999995</v>
      </c>
      <c r="X28">
        <v>631.29999999999995</v>
      </c>
      <c r="Y28">
        <v>1252307</v>
      </c>
      <c r="Z28">
        <v>153247</v>
      </c>
      <c r="AA28" s="13"/>
      <c r="AB28">
        <v>890299</v>
      </c>
      <c r="AC28">
        <v>122987</v>
      </c>
      <c r="AD28">
        <v>85774</v>
      </c>
      <c r="AE28">
        <v>2057.5</v>
      </c>
      <c r="AF28">
        <v>177.5</v>
      </c>
      <c r="AG28">
        <v>79.5</v>
      </c>
      <c r="AH28">
        <v>23</v>
      </c>
      <c r="AI28">
        <v>20.2</v>
      </c>
      <c r="AJ28">
        <v>54.8</v>
      </c>
      <c r="AK28">
        <v>13513</v>
      </c>
      <c r="AL28">
        <v>9855</v>
      </c>
      <c r="AM28">
        <v>1851</v>
      </c>
      <c r="AN28">
        <v>667</v>
      </c>
      <c r="AO28">
        <v>149</v>
      </c>
      <c r="AP28">
        <v>991</v>
      </c>
      <c r="AQ28">
        <v>112873</v>
      </c>
      <c r="AR28">
        <v>7004</v>
      </c>
      <c r="AS28">
        <v>81892</v>
      </c>
      <c r="AT28">
        <v>10760</v>
      </c>
      <c r="AU28">
        <v>359</v>
      </c>
      <c r="AV28">
        <v>12857</v>
      </c>
      <c r="AW28">
        <v>29667</v>
      </c>
      <c r="AX28" s="18">
        <f t="shared" si="0"/>
        <v>29442</v>
      </c>
      <c r="AY28" s="35">
        <f t="shared" si="1"/>
        <v>225</v>
      </c>
      <c r="AZ28">
        <v>1390</v>
      </c>
      <c r="BA28" s="18">
        <f t="shared" si="2"/>
        <v>1360</v>
      </c>
      <c r="BB28" s="35">
        <f t="shared" si="3"/>
        <v>30</v>
      </c>
      <c r="BC28">
        <v>837</v>
      </c>
      <c r="BD28">
        <v>171</v>
      </c>
      <c r="BE28" s="30">
        <v>352</v>
      </c>
      <c r="BF28">
        <v>27662</v>
      </c>
      <c r="BG28" s="18">
        <f t="shared" si="4"/>
        <v>27639</v>
      </c>
      <c r="BH28" s="35">
        <f t="shared" si="5"/>
        <v>23</v>
      </c>
      <c r="BI28">
        <v>669</v>
      </c>
      <c r="BJ28" s="13">
        <v>1336</v>
      </c>
      <c r="BK28">
        <v>13513</v>
      </c>
      <c r="BL28">
        <v>12121</v>
      </c>
      <c r="BM28">
        <v>533</v>
      </c>
      <c r="BN28" s="18">
        <f t="shared" si="6"/>
        <v>443</v>
      </c>
      <c r="BO28" s="35">
        <f t="shared" si="7"/>
        <v>90</v>
      </c>
      <c r="BP28">
        <v>149</v>
      </c>
      <c r="BQ28">
        <v>25</v>
      </c>
      <c r="BR28">
        <v>146</v>
      </c>
      <c r="BS28">
        <v>123</v>
      </c>
      <c r="BT28">
        <v>772366</v>
      </c>
      <c r="BU28">
        <v>39132</v>
      </c>
      <c r="BV28">
        <v>121311</v>
      </c>
      <c r="BW28">
        <v>12081</v>
      </c>
      <c r="BX28">
        <v>29</v>
      </c>
      <c r="BY28">
        <v>315</v>
      </c>
      <c r="BZ28">
        <v>149</v>
      </c>
      <c r="CA28">
        <v>1669</v>
      </c>
    </row>
    <row r="29" spans="1:79">
      <c r="A29" t="s">
        <v>96</v>
      </c>
      <c r="B29">
        <v>4420</v>
      </c>
      <c r="C29">
        <v>4420</v>
      </c>
      <c r="D29">
        <v>996.5</v>
      </c>
      <c r="E29" t="s">
        <v>71</v>
      </c>
      <c r="F29">
        <v>120272.1</v>
      </c>
      <c r="G29">
        <v>32.1</v>
      </c>
      <c r="H29">
        <v>29.7</v>
      </c>
      <c r="I29">
        <v>2.1</v>
      </c>
      <c r="J29">
        <v>0.3</v>
      </c>
      <c r="K29">
        <v>32.1</v>
      </c>
      <c r="L29">
        <v>27</v>
      </c>
      <c r="M29">
        <v>1.4</v>
      </c>
      <c r="N29">
        <v>3.2</v>
      </c>
      <c r="O29">
        <v>0.5</v>
      </c>
      <c r="P29">
        <v>873.5</v>
      </c>
      <c r="Q29">
        <v>445.3</v>
      </c>
      <c r="R29">
        <v>14</v>
      </c>
      <c r="S29">
        <v>17885</v>
      </c>
      <c r="T29">
        <v>80038.7</v>
      </c>
      <c r="U29">
        <v>4297.8999999999996</v>
      </c>
      <c r="V29">
        <v>176.3</v>
      </c>
      <c r="W29">
        <v>177.7</v>
      </c>
      <c r="X29">
        <v>5941.3</v>
      </c>
      <c r="Y29">
        <v>143753</v>
      </c>
      <c r="Z29">
        <v>17497</v>
      </c>
      <c r="AA29">
        <v>24042</v>
      </c>
      <c r="AB29">
        <v>92810</v>
      </c>
      <c r="AC29">
        <v>2200</v>
      </c>
      <c r="AD29">
        <v>7204</v>
      </c>
      <c r="AE29">
        <v>305</v>
      </c>
      <c r="AF29">
        <v>2.6</v>
      </c>
      <c r="AG29">
        <v>0.9</v>
      </c>
      <c r="AH29">
        <v>0.5</v>
      </c>
      <c r="AI29">
        <v>0.1</v>
      </c>
      <c r="AJ29">
        <v>1.1000000000000001</v>
      </c>
      <c r="AK29">
        <v>5222</v>
      </c>
      <c r="AL29">
        <v>3225</v>
      </c>
      <c r="AM29">
        <v>1223</v>
      </c>
      <c r="AN29">
        <v>8</v>
      </c>
      <c r="AO29" s="13"/>
      <c r="AP29">
        <v>766</v>
      </c>
      <c r="AQ29">
        <v>26</v>
      </c>
      <c r="AR29" t="s">
        <v>71</v>
      </c>
      <c r="AS29">
        <v>26</v>
      </c>
      <c r="AT29" t="s">
        <v>71</v>
      </c>
      <c r="AU29" t="s">
        <v>71</v>
      </c>
      <c r="AV29" t="s">
        <v>71</v>
      </c>
      <c r="AW29">
        <v>7233</v>
      </c>
      <c r="AX29" s="18">
        <f t="shared" si="0"/>
        <v>7158</v>
      </c>
      <c r="AY29" s="35">
        <f t="shared" si="1"/>
        <v>75</v>
      </c>
      <c r="AZ29">
        <v>199</v>
      </c>
      <c r="BA29" s="18">
        <f t="shared" si="2"/>
        <v>134</v>
      </c>
      <c r="BB29" s="35">
        <f t="shared" si="3"/>
        <v>65</v>
      </c>
      <c r="BC29">
        <v>119</v>
      </c>
      <c r="BD29" s="13"/>
      <c r="BE29" s="30">
        <v>15</v>
      </c>
      <c r="BF29">
        <v>6912</v>
      </c>
      <c r="BG29" s="18">
        <f t="shared" si="4"/>
        <v>6912</v>
      </c>
      <c r="BH29" s="35">
        <f t="shared" si="5"/>
        <v>0</v>
      </c>
      <c r="BI29">
        <v>22</v>
      </c>
      <c r="BJ29" s="13">
        <v>668</v>
      </c>
      <c r="BK29">
        <v>5222</v>
      </c>
      <c r="BL29">
        <v>1000</v>
      </c>
      <c r="BM29">
        <v>120</v>
      </c>
      <c r="BN29" s="18">
        <f t="shared" si="6"/>
        <v>112</v>
      </c>
      <c r="BO29" s="35">
        <f t="shared" si="7"/>
        <v>8</v>
      </c>
      <c r="BP29">
        <v>82</v>
      </c>
      <c r="BQ29" s="13"/>
      <c r="BR29">
        <v>27</v>
      </c>
      <c r="BS29">
        <v>3</v>
      </c>
      <c r="BT29">
        <v>506406</v>
      </c>
      <c r="BU29">
        <v>9368</v>
      </c>
      <c r="BV29">
        <v>29589</v>
      </c>
      <c r="BW29">
        <v>4228</v>
      </c>
      <c r="BX29">
        <v>0</v>
      </c>
      <c r="BY29" t="s">
        <v>71</v>
      </c>
      <c r="BZ29" t="s">
        <v>71</v>
      </c>
      <c r="CA29">
        <v>18</v>
      </c>
    </row>
    <row r="30" spans="1:79">
      <c r="A30" t="s">
        <v>97</v>
      </c>
      <c r="B30">
        <v>389.3</v>
      </c>
      <c r="C30">
        <v>353.8</v>
      </c>
      <c r="D30">
        <v>144.4</v>
      </c>
      <c r="E30">
        <v>35.5</v>
      </c>
      <c r="F30">
        <v>984.9</v>
      </c>
      <c r="G30">
        <v>100</v>
      </c>
      <c r="H30">
        <v>61.6</v>
      </c>
      <c r="I30">
        <v>30.1</v>
      </c>
      <c r="J30">
        <v>8.4</v>
      </c>
      <c r="K30">
        <v>100</v>
      </c>
      <c r="L30">
        <v>56</v>
      </c>
      <c r="M30">
        <v>14.9</v>
      </c>
      <c r="N30">
        <v>21.2</v>
      </c>
      <c r="O30">
        <v>7.9</v>
      </c>
      <c r="P30">
        <v>253</v>
      </c>
      <c r="Q30">
        <v>3040.6</v>
      </c>
      <c r="R30">
        <v>1105.4000000000001</v>
      </c>
      <c r="S30">
        <v>12436.5</v>
      </c>
      <c r="T30">
        <v>2188.8000000000002</v>
      </c>
      <c r="U30">
        <v>45.9</v>
      </c>
      <c r="V30">
        <v>941.7</v>
      </c>
      <c r="W30">
        <v>321.60000000000002</v>
      </c>
      <c r="X30">
        <v>283.10000000000002</v>
      </c>
      <c r="Y30">
        <v>1951759</v>
      </c>
      <c r="Z30">
        <v>219246</v>
      </c>
      <c r="AA30">
        <v>344591</v>
      </c>
      <c r="AB30">
        <v>1002632</v>
      </c>
      <c r="AC30">
        <v>243579</v>
      </c>
      <c r="AD30">
        <v>141711</v>
      </c>
      <c r="AE30">
        <v>1186.5999999999999</v>
      </c>
      <c r="AF30">
        <v>193.7</v>
      </c>
      <c r="AG30">
        <v>71.8</v>
      </c>
      <c r="AH30">
        <v>15.8</v>
      </c>
      <c r="AI30">
        <v>19.100000000000001</v>
      </c>
      <c r="AJ30">
        <v>87</v>
      </c>
      <c r="AK30">
        <v>20995</v>
      </c>
      <c r="AL30">
        <v>19444</v>
      </c>
      <c r="AM30">
        <v>115</v>
      </c>
      <c r="AN30">
        <v>203</v>
      </c>
      <c r="AO30">
        <v>1221</v>
      </c>
      <c r="AP30">
        <v>12</v>
      </c>
      <c r="AQ30">
        <v>67346</v>
      </c>
      <c r="AR30">
        <v>26397</v>
      </c>
      <c r="AS30">
        <v>9166</v>
      </c>
      <c r="AT30">
        <v>382</v>
      </c>
      <c r="AU30" t="s">
        <v>71</v>
      </c>
      <c r="AV30">
        <v>31401</v>
      </c>
      <c r="AW30">
        <v>35426</v>
      </c>
      <c r="AX30" s="18">
        <f t="shared" si="0"/>
        <v>35204</v>
      </c>
      <c r="AY30" s="35">
        <f t="shared" si="1"/>
        <v>222</v>
      </c>
      <c r="AZ30">
        <v>1288</v>
      </c>
      <c r="BA30" s="18">
        <f t="shared" si="2"/>
        <v>1262</v>
      </c>
      <c r="BB30" s="35">
        <f t="shared" si="3"/>
        <v>26</v>
      </c>
      <c r="BC30">
        <v>737</v>
      </c>
      <c r="BD30">
        <v>181</v>
      </c>
      <c r="BE30" s="30">
        <v>344</v>
      </c>
      <c r="BF30">
        <v>33662</v>
      </c>
      <c r="BG30" s="18">
        <f t="shared" si="4"/>
        <v>33625</v>
      </c>
      <c r="BH30" s="35">
        <f t="shared" si="5"/>
        <v>37</v>
      </c>
      <c r="BI30">
        <v>769</v>
      </c>
      <c r="BJ30" s="13">
        <v>1489</v>
      </c>
      <c r="BK30">
        <v>20995</v>
      </c>
      <c r="BL30">
        <v>10372</v>
      </c>
      <c r="BM30">
        <v>355</v>
      </c>
      <c r="BN30" s="18">
        <f t="shared" si="6"/>
        <v>317</v>
      </c>
      <c r="BO30" s="35">
        <f t="shared" si="7"/>
        <v>38</v>
      </c>
      <c r="BP30">
        <v>121</v>
      </c>
      <c r="BQ30">
        <v>4</v>
      </c>
      <c r="BR30">
        <v>118</v>
      </c>
      <c r="BS30">
        <v>74</v>
      </c>
      <c r="BT30">
        <v>400614</v>
      </c>
      <c r="BU30">
        <v>20984</v>
      </c>
      <c r="BV30">
        <v>49220</v>
      </c>
      <c r="BW30">
        <v>4706</v>
      </c>
      <c r="BX30">
        <v>28</v>
      </c>
      <c r="BY30">
        <v>1198</v>
      </c>
      <c r="BZ30">
        <v>321</v>
      </c>
      <c r="CA30">
        <v>1127</v>
      </c>
    </row>
    <row r="31" spans="1:79">
      <c r="A31" t="s">
        <v>98</v>
      </c>
      <c r="B31">
        <v>261.39999999999998</v>
      </c>
      <c r="C31">
        <v>250.6</v>
      </c>
      <c r="D31">
        <v>123.3</v>
      </c>
      <c r="E31">
        <v>10.8</v>
      </c>
      <c r="F31">
        <v>1062</v>
      </c>
      <c r="G31">
        <v>117.3</v>
      </c>
      <c r="H31">
        <v>83.9</v>
      </c>
      <c r="I31">
        <v>28.5</v>
      </c>
      <c r="J31">
        <v>4.8</v>
      </c>
      <c r="K31">
        <v>117.3</v>
      </c>
      <c r="L31">
        <v>90</v>
      </c>
      <c r="M31">
        <v>6.4</v>
      </c>
      <c r="N31">
        <v>10.6</v>
      </c>
      <c r="O31">
        <v>10.3</v>
      </c>
      <c r="P31">
        <v>476.5</v>
      </c>
      <c r="Q31">
        <v>5220.3</v>
      </c>
      <c r="R31">
        <v>413.4</v>
      </c>
      <c r="S31">
        <v>8218.9</v>
      </c>
      <c r="T31">
        <v>14039.3</v>
      </c>
      <c r="U31">
        <v>1182.0999999999999</v>
      </c>
      <c r="V31">
        <v>887.1</v>
      </c>
      <c r="W31">
        <v>358.3</v>
      </c>
      <c r="X31">
        <v>413.7</v>
      </c>
      <c r="Y31">
        <v>1718766</v>
      </c>
      <c r="Z31">
        <v>218513</v>
      </c>
      <c r="AA31">
        <v>525968</v>
      </c>
      <c r="AB31">
        <v>722488</v>
      </c>
      <c r="AC31">
        <v>81172</v>
      </c>
      <c r="AD31">
        <v>170625</v>
      </c>
      <c r="AE31">
        <v>1453.9</v>
      </c>
      <c r="AF31">
        <v>77.3</v>
      </c>
      <c r="AG31">
        <v>29.4</v>
      </c>
      <c r="AH31">
        <v>14.1</v>
      </c>
      <c r="AI31">
        <v>7.7</v>
      </c>
      <c r="AJ31">
        <v>26</v>
      </c>
      <c r="AK31">
        <v>16222</v>
      </c>
      <c r="AL31">
        <v>5742</v>
      </c>
      <c r="AM31">
        <v>6755</v>
      </c>
      <c r="AN31">
        <v>751</v>
      </c>
      <c r="AO31">
        <v>1413</v>
      </c>
      <c r="AP31">
        <v>1561</v>
      </c>
      <c r="AQ31">
        <v>64955</v>
      </c>
      <c r="AR31">
        <v>9911</v>
      </c>
      <c r="AS31">
        <v>36913</v>
      </c>
      <c r="AT31">
        <v>607</v>
      </c>
      <c r="AU31" t="s">
        <v>71</v>
      </c>
      <c r="AV31">
        <v>17524</v>
      </c>
      <c r="AW31">
        <v>26741</v>
      </c>
      <c r="AX31" s="18">
        <f t="shared" si="0"/>
        <v>26577</v>
      </c>
      <c r="AY31" s="35">
        <f t="shared" si="1"/>
        <v>164</v>
      </c>
      <c r="AZ31">
        <v>765</v>
      </c>
      <c r="BA31" s="18">
        <f t="shared" si="2"/>
        <v>709</v>
      </c>
      <c r="BB31" s="35">
        <f t="shared" si="3"/>
        <v>56</v>
      </c>
      <c r="BC31">
        <v>365</v>
      </c>
      <c r="BD31">
        <v>127</v>
      </c>
      <c r="BE31" s="30">
        <v>217</v>
      </c>
      <c r="BF31">
        <v>25653</v>
      </c>
      <c r="BG31" s="18">
        <f t="shared" si="4"/>
        <v>25650</v>
      </c>
      <c r="BH31" s="35">
        <f t="shared" si="5"/>
        <v>3</v>
      </c>
      <c r="BI31">
        <v>832</v>
      </c>
      <c r="BJ31" s="13">
        <v>1341</v>
      </c>
      <c r="BK31">
        <v>16222</v>
      </c>
      <c r="BL31">
        <v>7255</v>
      </c>
      <c r="BM31">
        <v>286</v>
      </c>
      <c r="BN31" s="18">
        <f t="shared" si="6"/>
        <v>218</v>
      </c>
      <c r="BO31" s="35">
        <f t="shared" si="7"/>
        <v>68</v>
      </c>
      <c r="BP31">
        <v>105</v>
      </c>
      <c r="BQ31">
        <v>10</v>
      </c>
      <c r="BR31">
        <v>99</v>
      </c>
      <c r="BS31">
        <v>4</v>
      </c>
      <c r="BT31">
        <v>920791</v>
      </c>
      <c r="BU31">
        <v>12589</v>
      </c>
      <c r="BV31">
        <v>46883</v>
      </c>
      <c r="BW31">
        <v>6804</v>
      </c>
      <c r="BX31">
        <v>12</v>
      </c>
      <c r="BY31">
        <v>542</v>
      </c>
      <c r="BZ31">
        <v>105</v>
      </c>
      <c r="CA31">
        <v>804</v>
      </c>
    </row>
    <row r="32" spans="1:79">
      <c r="A32" t="s">
        <v>99</v>
      </c>
      <c r="B32">
        <v>958.6</v>
      </c>
      <c r="C32">
        <v>932.4</v>
      </c>
      <c r="D32">
        <v>412.9</v>
      </c>
      <c r="E32">
        <v>26.2</v>
      </c>
      <c r="F32">
        <v>16151.6</v>
      </c>
      <c r="G32">
        <v>26.1</v>
      </c>
      <c r="H32">
        <v>20.2</v>
      </c>
      <c r="I32">
        <v>4.5999999999999996</v>
      </c>
      <c r="J32">
        <v>1.3</v>
      </c>
      <c r="K32">
        <v>26.1</v>
      </c>
      <c r="L32">
        <v>17.7</v>
      </c>
      <c r="M32">
        <v>3.2</v>
      </c>
      <c r="N32">
        <v>3.2</v>
      </c>
      <c r="O32">
        <v>2</v>
      </c>
      <c r="P32">
        <v>439.8</v>
      </c>
      <c r="Q32">
        <v>570</v>
      </c>
      <c r="R32">
        <v>59.2</v>
      </c>
      <c r="S32">
        <v>4604</v>
      </c>
      <c r="T32">
        <v>39432.9</v>
      </c>
      <c r="U32">
        <v>5100</v>
      </c>
      <c r="V32">
        <v>384.2</v>
      </c>
      <c r="W32">
        <v>154.30000000000001</v>
      </c>
      <c r="X32">
        <v>2455.3000000000002</v>
      </c>
      <c r="Y32">
        <v>161140</v>
      </c>
      <c r="Z32">
        <v>36229</v>
      </c>
      <c r="AA32">
        <v>59072</v>
      </c>
      <c r="AB32">
        <v>57248</v>
      </c>
      <c r="AC32">
        <v>7941</v>
      </c>
      <c r="AD32">
        <v>650</v>
      </c>
      <c r="AE32">
        <v>229.1</v>
      </c>
      <c r="AF32">
        <v>4.5</v>
      </c>
      <c r="AG32">
        <v>1.7</v>
      </c>
      <c r="AH32">
        <v>0.5</v>
      </c>
      <c r="AI32">
        <v>0.1</v>
      </c>
      <c r="AJ32">
        <v>2.1</v>
      </c>
      <c r="AK32">
        <v>4489</v>
      </c>
      <c r="AL32">
        <v>2571</v>
      </c>
      <c r="AM32">
        <v>656</v>
      </c>
      <c r="AN32">
        <v>479</v>
      </c>
      <c r="AO32">
        <v>317</v>
      </c>
      <c r="AP32">
        <v>466</v>
      </c>
      <c r="AQ32">
        <v>128587</v>
      </c>
      <c r="AR32">
        <v>10375</v>
      </c>
      <c r="AS32">
        <v>57637</v>
      </c>
      <c r="AT32">
        <v>26146</v>
      </c>
      <c r="AU32">
        <v>62</v>
      </c>
      <c r="AV32">
        <v>34367</v>
      </c>
      <c r="AW32">
        <v>6914</v>
      </c>
      <c r="AX32" s="18">
        <f t="shared" si="0"/>
        <v>6834</v>
      </c>
      <c r="AY32" s="35">
        <f t="shared" si="1"/>
        <v>80</v>
      </c>
      <c r="AZ32">
        <v>252</v>
      </c>
      <c r="BA32" s="18">
        <f t="shared" si="2"/>
        <v>189</v>
      </c>
      <c r="BB32" s="35">
        <f t="shared" si="3"/>
        <v>63</v>
      </c>
      <c r="BC32">
        <v>134</v>
      </c>
      <c r="BD32">
        <v>16</v>
      </c>
      <c r="BE32" s="30">
        <v>39</v>
      </c>
      <c r="BF32">
        <v>6536</v>
      </c>
      <c r="BG32" s="18">
        <f t="shared" si="4"/>
        <v>6536</v>
      </c>
      <c r="BH32" s="35">
        <f t="shared" si="5"/>
        <v>0</v>
      </c>
      <c r="BI32">
        <v>280</v>
      </c>
      <c r="BJ32" s="13">
        <v>406</v>
      </c>
      <c r="BK32">
        <v>4489</v>
      </c>
      <c r="BL32" s="13">
        <v>1361</v>
      </c>
      <c r="BM32">
        <v>124</v>
      </c>
      <c r="BN32" s="18">
        <f t="shared" si="6"/>
        <v>109</v>
      </c>
      <c r="BO32" s="35">
        <f t="shared" si="7"/>
        <v>15</v>
      </c>
      <c r="BP32">
        <v>54</v>
      </c>
      <c r="BQ32">
        <v>2</v>
      </c>
      <c r="BR32">
        <v>52</v>
      </c>
      <c r="BS32">
        <v>1</v>
      </c>
      <c r="BT32">
        <v>281929</v>
      </c>
      <c r="BU32">
        <v>4158</v>
      </c>
      <c r="BV32">
        <v>14989</v>
      </c>
      <c r="BW32">
        <v>1456</v>
      </c>
      <c r="BX32">
        <v>3</v>
      </c>
      <c r="BY32">
        <v>298</v>
      </c>
      <c r="BZ32">
        <v>80</v>
      </c>
      <c r="CA32">
        <v>52</v>
      </c>
    </row>
    <row r="33" spans="1:79">
      <c r="A33" t="s">
        <v>100</v>
      </c>
      <c r="B33">
        <v>13</v>
      </c>
      <c r="C33">
        <v>10</v>
      </c>
      <c r="D33">
        <v>16.100000000000001</v>
      </c>
      <c r="E33">
        <v>3</v>
      </c>
      <c r="F33">
        <v>178.3</v>
      </c>
      <c r="G33">
        <v>61.4</v>
      </c>
      <c r="H33">
        <v>52.9</v>
      </c>
      <c r="I33">
        <v>4.7</v>
      </c>
      <c r="J33">
        <v>3.8</v>
      </c>
      <c r="K33">
        <v>61.4</v>
      </c>
      <c r="L33">
        <v>48.7</v>
      </c>
      <c r="M33">
        <v>5.7</v>
      </c>
      <c r="N33">
        <v>3.8</v>
      </c>
      <c r="O33">
        <v>3.2</v>
      </c>
      <c r="P33">
        <v>842.2</v>
      </c>
      <c r="Q33">
        <v>1207.3</v>
      </c>
      <c r="R33">
        <v>89.2</v>
      </c>
      <c r="S33">
        <v>981.3</v>
      </c>
      <c r="T33">
        <v>1980.6</v>
      </c>
      <c r="U33">
        <v>25.4</v>
      </c>
      <c r="V33">
        <v>303.7</v>
      </c>
      <c r="W33">
        <v>101.2</v>
      </c>
      <c r="X33">
        <v>170.7</v>
      </c>
      <c r="Y33">
        <v>470978</v>
      </c>
      <c r="Z33">
        <v>77162</v>
      </c>
      <c r="AA33">
        <v>184033</v>
      </c>
      <c r="AB33">
        <v>188160</v>
      </c>
      <c r="AC33">
        <v>16168</v>
      </c>
      <c r="AD33">
        <v>5455</v>
      </c>
      <c r="AE33">
        <v>564.70000000000005</v>
      </c>
      <c r="AF33">
        <v>36.799999999999997</v>
      </c>
      <c r="AG33">
        <v>13.5</v>
      </c>
      <c r="AH33">
        <v>4.0999999999999996</v>
      </c>
      <c r="AI33">
        <v>2.9</v>
      </c>
      <c r="AJ33">
        <v>16.3</v>
      </c>
      <c r="AK33">
        <v>2139</v>
      </c>
      <c r="AL33" s="13"/>
      <c r="AM33">
        <v>2139</v>
      </c>
      <c r="AN33" t="s">
        <v>71</v>
      </c>
      <c r="AO33" t="s">
        <v>71</v>
      </c>
      <c r="AP33" t="s">
        <v>71</v>
      </c>
      <c r="AQ33">
        <v>36360</v>
      </c>
      <c r="AR33" s="13" t="s">
        <v>71</v>
      </c>
      <c r="AS33">
        <v>34163</v>
      </c>
      <c r="AT33">
        <v>333</v>
      </c>
      <c r="AU33" t="s">
        <v>71</v>
      </c>
      <c r="AV33">
        <v>1864</v>
      </c>
      <c r="AW33">
        <v>4986</v>
      </c>
      <c r="AX33" s="18">
        <f t="shared" si="0"/>
        <v>4927</v>
      </c>
      <c r="AY33" s="35">
        <f t="shared" si="1"/>
        <v>59</v>
      </c>
      <c r="AZ33">
        <v>219</v>
      </c>
      <c r="BA33" s="18">
        <f t="shared" si="2"/>
        <v>213</v>
      </c>
      <c r="BB33" s="35">
        <f t="shared" si="3"/>
        <v>6</v>
      </c>
      <c r="BC33">
        <v>132</v>
      </c>
      <c r="BD33">
        <v>31</v>
      </c>
      <c r="BE33" s="30">
        <v>50</v>
      </c>
      <c r="BF33">
        <v>4660</v>
      </c>
      <c r="BG33" s="18">
        <f t="shared" si="4"/>
        <v>4660</v>
      </c>
      <c r="BH33" s="35">
        <f t="shared" si="5"/>
        <v>0</v>
      </c>
      <c r="BI33">
        <v>254</v>
      </c>
      <c r="BJ33" s="13">
        <v>204</v>
      </c>
      <c r="BK33">
        <v>2139</v>
      </c>
      <c r="BL33">
        <v>2063</v>
      </c>
      <c r="BM33">
        <v>84</v>
      </c>
      <c r="BN33" s="18">
        <f t="shared" si="6"/>
        <v>54</v>
      </c>
      <c r="BO33" s="35">
        <f t="shared" si="7"/>
        <v>30</v>
      </c>
      <c r="BP33">
        <v>27</v>
      </c>
      <c r="BQ33" t="s">
        <v>71</v>
      </c>
      <c r="BR33">
        <v>25</v>
      </c>
      <c r="BS33">
        <v>2</v>
      </c>
      <c r="BT33">
        <v>263736</v>
      </c>
      <c r="BU33">
        <v>4852</v>
      </c>
      <c r="BV33">
        <v>15892</v>
      </c>
      <c r="BW33">
        <v>2469</v>
      </c>
      <c r="BX33">
        <v>6</v>
      </c>
      <c r="BY33">
        <v>182</v>
      </c>
      <c r="BZ33">
        <v>151</v>
      </c>
      <c r="CA33">
        <v>19</v>
      </c>
    </row>
    <row r="34" spans="1:79">
      <c r="A34" t="s">
        <v>101</v>
      </c>
      <c r="B34">
        <v>1025.9000000000001</v>
      </c>
      <c r="C34">
        <v>975.7</v>
      </c>
      <c r="D34">
        <v>541.1</v>
      </c>
      <c r="E34">
        <v>50.2</v>
      </c>
      <c r="F34">
        <v>3929.9</v>
      </c>
      <c r="G34">
        <v>633</v>
      </c>
      <c r="H34">
        <v>498.3</v>
      </c>
      <c r="I34">
        <v>118.7</v>
      </c>
      <c r="J34">
        <v>16</v>
      </c>
      <c r="K34">
        <v>633</v>
      </c>
      <c r="L34">
        <v>567.4</v>
      </c>
      <c r="M34">
        <v>11.8</v>
      </c>
      <c r="N34">
        <v>20</v>
      </c>
      <c r="O34">
        <v>33.9</v>
      </c>
      <c r="P34">
        <v>2424.8000000000002</v>
      </c>
      <c r="Q34">
        <v>7191.3</v>
      </c>
      <c r="R34">
        <v>1044.0999999999999</v>
      </c>
      <c r="S34">
        <v>12576</v>
      </c>
      <c r="T34">
        <v>51465</v>
      </c>
      <c r="U34">
        <v>1511.9</v>
      </c>
      <c r="V34">
        <v>1538</v>
      </c>
      <c r="W34">
        <v>628.4</v>
      </c>
      <c r="X34">
        <v>5354.3</v>
      </c>
      <c r="Y34">
        <v>995623</v>
      </c>
      <c r="Z34">
        <v>145224</v>
      </c>
      <c r="AA34">
        <v>327910</v>
      </c>
      <c r="AB34">
        <v>390784</v>
      </c>
      <c r="AC34">
        <v>92298</v>
      </c>
      <c r="AD34">
        <v>39407</v>
      </c>
      <c r="AE34">
        <v>6679.2</v>
      </c>
      <c r="AF34">
        <v>251.9</v>
      </c>
      <c r="AG34">
        <v>105.8</v>
      </c>
      <c r="AH34">
        <v>55.6</v>
      </c>
      <c r="AI34">
        <v>24.4</v>
      </c>
      <c r="AJ34">
        <v>66.099999999999994</v>
      </c>
      <c r="AK34">
        <v>9526</v>
      </c>
      <c r="AL34">
        <v>1655</v>
      </c>
      <c r="AM34">
        <v>6226</v>
      </c>
      <c r="AN34">
        <v>771</v>
      </c>
      <c r="AO34">
        <v>132</v>
      </c>
      <c r="AP34">
        <v>742</v>
      </c>
      <c r="AQ34">
        <v>108805</v>
      </c>
      <c r="AR34">
        <v>10463</v>
      </c>
      <c r="AS34">
        <v>81210</v>
      </c>
      <c r="AT34">
        <v>5119</v>
      </c>
      <c r="AU34">
        <v>20</v>
      </c>
      <c r="AV34">
        <v>11993</v>
      </c>
      <c r="AW34">
        <v>19112</v>
      </c>
      <c r="AX34" s="18">
        <f t="shared" si="0"/>
        <v>18958</v>
      </c>
      <c r="AY34" s="35">
        <f t="shared" si="1"/>
        <v>154</v>
      </c>
      <c r="AZ34">
        <v>1009</v>
      </c>
      <c r="BA34" s="18">
        <f t="shared" si="2"/>
        <v>948</v>
      </c>
      <c r="BB34" s="35">
        <f t="shared" si="3"/>
        <v>61</v>
      </c>
      <c r="BC34">
        <v>739</v>
      </c>
      <c r="BD34">
        <v>83</v>
      </c>
      <c r="BE34" s="30">
        <v>126</v>
      </c>
      <c r="BF34">
        <v>17713</v>
      </c>
      <c r="BG34" s="18">
        <f t="shared" si="4"/>
        <v>17712</v>
      </c>
      <c r="BH34" s="35">
        <f t="shared" si="5"/>
        <v>1</v>
      </c>
      <c r="BI34">
        <v>1357</v>
      </c>
      <c r="BJ34" s="13">
        <v>924</v>
      </c>
      <c r="BK34">
        <v>9526</v>
      </c>
      <c r="BL34">
        <v>5905</v>
      </c>
      <c r="BM34">
        <v>367</v>
      </c>
      <c r="BN34" s="18">
        <f t="shared" si="6"/>
        <v>298</v>
      </c>
      <c r="BO34" s="35">
        <f t="shared" si="7"/>
        <v>69</v>
      </c>
      <c r="BP34">
        <v>172</v>
      </c>
      <c r="BQ34">
        <v>3</v>
      </c>
      <c r="BR34">
        <v>105</v>
      </c>
      <c r="BS34">
        <v>18</v>
      </c>
      <c r="BT34">
        <v>704744</v>
      </c>
      <c r="BU34">
        <v>23707</v>
      </c>
      <c r="BV34">
        <v>61355</v>
      </c>
      <c r="BW34">
        <v>6294</v>
      </c>
      <c r="BX34">
        <v>26</v>
      </c>
      <c r="BY34">
        <v>870</v>
      </c>
      <c r="BZ34">
        <v>157</v>
      </c>
      <c r="CA34">
        <v>368</v>
      </c>
    </row>
  </sheetData>
  <mergeCells count="8">
    <mergeCell ref="BT1:CA1"/>
    <mergeCell ref="AW1:BS1"/>
    <mergeCell ref="B1:F1"/>
    <mergeCell ref="G1:P1"/>
    <mergeCell ref="Y1:AD1"/>
    <mergeCell ref="AE1:AJ1"/>
    <mergeCell ref="AK1:AP1"/>
    <mergeCell ref="AQ1:AV1"/>
  </mergeCells>
  <phoneticPr fontId="7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6"/>
  <sheetViews>
    <sheetView topLeftCell="BY1" zoomScale="80" zoomScaleNormal="80" workbookViewId="0">
      <selection activeCell="CF34" sqref="CF34"/>
    </sheetView>
  </sheetViews>
  <sheetFormatPr defaultColWidth="8.44140625" defaultRowHeight="14.4"/>
  <cols>
    <col min="1" max="1" width="28.88671875" customWidth="1"/>
    <col min="2" max="2" width="14.77734375" customWidth="1"/>
    <col min="3" max="3" width="12.33203125" customWidth="1"/>
    <col min="4" max="4" width="12.5546875" customWidth="1"/>
    <col min="5" max="10" width="14.77734375" customWidth="1"/>
    <col min="11" max="11" width="11.33203125" customWidth="1"/>
    <col min="12" max="16" width="14.77734375" customWidth="1"/>
    <col min="17" max="17" width="7.6640625" customWidth="1"/>
    <col min="18" max="31" width="14.77734375" customWidth="1"/>
    <col min="32" max="32" width="12" customWidth="1"/>
    <col min="33" max="33" width="7.44140625" style="12" customWidth="1"/>
    <col min="34" max="40" width="14.77734375" customWidth="1"/>
    <col min="41" max="41" width="12" customWidth="1"/>
    <col min="42" max="42" width="5.44140625" customWidth="1"/>
    <col min="43" max="47" width="14.77734375" customWidth="1"/>
    <col min="48" max="49" width="12.33203125" customWidth="1"/>
    <col min="50" max="63" width="14.77734375" customWidth="1"/>
    <col min="64" max="64" width="13.6640625" customWidth="1"/>
    <col min="65" max="65" width="10.88671875" customWidth="1"/>
    <col min="66" max="66" width="14.77734375" customWidth="1"/>
    <col min="67" max="67" width="11.6640625" customWidth="1"/>
    <col min="68" max="68" width="11.33203125" customWidth="1"/>
    <col min="69" max="73" width="14.77734375" customWidth="1"/>
    <col min="74" max="74" width="7.6640625" customWidth="1"/>
    <col min="75" max="93" width="14.77734375" customWidth="1"/>
  </cols>
  <sheetData>
    <row r="1" spans="1:93">
      <c r="B1" s="14" t="s">
        <v>226</v>
      </c>
      <c r="C1" s="14"/>
      <c r="D1" s="14"/>
      <c r="E1" s="14"/>
      <c r="F1" s="14"/>
      <c r="G1" s="14"/>
      <c r="H1" s="14"/>
      <c r="I1" s="15" t="s">
        <v>228</v>
      </c>
      <c r="J1" s="15"/>
      <c r="K1" s="15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33">
        <v>2023</v>
      </c>
      <c r="AE1" s="15" t="s">
        <v>223</v>
      </c>
      <c r="AF1" s="14"/>
      <c r="AG1" s="14"/>
      <c r="AH1" s="14"/>
      <c r="AI1" s="14"/>
      <c r="AJ1" s="14"/>
      <c r="AK1" s="14"/>
      <c r="AL1" s="14"/>
      <c r="AM1" s="21" t="s">
        <v>225</v>
      </c>
      <c r="AN1" s="22"/>
      <c r="AO1" s="22"/>
      <c r="AP1" s="22"/>
      <c r="AQ1" s="22"/>
      <c r="AR1" s="22"/>
      <c r="AS1" s="22"/>
      <c r="AT1" s="22"/>
      <c r="AU1" s="14" t="s">
        <v>227</v>
      </c>
      <c r="AV1" s="14"/>
      <c r="AW1" s="14"/>
      <c r="AX1" s="14"/>
      <c r="AY1" s="14"/>
      <c r="AZ1" s="14"/>
      <c r="BA1" s="14"/>
      <c r="BB1" s="14"/>
      <c r="BC1" s="15" t="s">
        <v>229</v>
      </c>
      <c r="BD1" s="14"/>
      <c r="BE1" s="14"/>
      <c r="BF1" s="14"/>
      <c r="BG1" s="14"/>
      <c r="BH1" s="14"/>
      <c r="BI1" s="14"/>
      <c r="BJ1" s="14"/>
      <c r="BK1" s="15" t="s">
        <v>232</v>
      </c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5" t="s">
        <v>224</v>
      </c>
      <c r="CI1" s="15"/>
      <c r="CJ1" s="15"/>
      <c r="CK1" s="15"/>
      <c r="CL1" s="15"/>
      <c r="CM1" s="15"/>
      <c r="CN1" s="15"/>
      <c r="CO1" s="15"/>
    </row>
    <row r="2" spans="1:93" s="4" customFormat="1" ht="135" customHeight="1">
      <c r="A2" s="4" t="s">
        <v>0</v>
      </c>
      <c r="B2" s="23" t="s">
        <v>1</v>
      </c>
      <c r="C2" s="23"/>
      <c r="D2" s="23"/>
      <c r="E2" s="23" t="s">
        <v>2</v>
      </c>
      <c r="F2" s="23" t="s">
        <v>3</v>
      </c>
      <c r="G2" s="23" t="s">
        <v>4</v>
      </c>
      <c r="H2" s="23" t="s">
        <v>5</v>
      </c>
      <c r="I2" s="26" t="s">
        <v>6</v>
      </c>
      <c r="J2" s="26"/>
      <c r="K2" s="26"/>
      <c r="L2" s="26" t="s">
        <v>7</v>
      </c>
      <c r="M2" s="26" t="s">
        <v>8</v>
      </c>
      <c r="N2" s="26" t="s">
        <v>9</v>
      </c>
      <c r="O2" s="26" t="s">
        <v>10</v>
      </c>
      <c r="P2" s="26"/>
      <c r="Q2" s="26"/>
      <c r="R2" s="26" t="s">
        <v>11</v>
      </c>
      <c r="S2" s="26" t="s">
        <v>12</v>
      </c>
      <c r="T2" s="26" t="s">
        <v>13</v>
      </c>
      <c r="U2" s="26" t="s">
        <v>14</v>
      </c>
      <c r="V2" s="26" t="s">
        <v>15</v>
      </c>
      <c r="W2" s="29" t="s">
        <v>16</v>
      </c>
      <c r="X2" s="4" t="s">
        <v>17</v>
      </c>
      <c r="Y2" s="4" t="s">
        <v>18</v>
      </c>
      <c r="Z2" s="4" t="s">
        <v>19</v>
      </c>
      <c r="AA2" s="4" t="s">
        <v>20</v>
      </c>
      <c r="AB2" s="4" t="s">
        <v>21</v>
      </c>
      <c r="AC2" s="4" t="s">
        <v>22</v>
      </c>
      <c r="AD2" s="4" t="s">
        <v>23</v>
      </c>
      <c r="AE2" s="10" t="s">
        <v>24</v>
      </c>
      <c r="AF2" s="10"/>
      <c r="AG2" s="11"/>
      <c r="AH2" s="10" t="s">
        <v>25</v>
      </c>
      <c r="AI2" s="10" t="s">
        <v>26</v>
      </c>
      <c r="AJ2" s="10" t="s">
        <v>27</v>
      </c>
      <c r="AK2" s="10" t="s">
        <v>28</v>
      </c>
      <c r="AL2" s="10" t="s">
        <v>29</v>
      </c>
      <c r="AM2" s="17" t="s">
        <v>30</v>
      </c>
      <c r="AN2" s="17" t="s">
        <v>31</v>
      </c>
      <c r="AO2" s="17"/>
      <c r="AP2" s="17"/>
      <c r="AQ2" s="17" t="s">
        <v>32</v>
      </c>
      <c r="AR2" s="17" t="s">
        <v>33</v>
      </c>
      <c r="AS2" s="17" t="s">
        <v>34</v>
      </c>
      <c r="AT2" s="17" t="s">
        <v>35</v>
      </c>
      <c r="AU2" s="25" t="s">
        <v>36</v>
      </c>
      <c r="AV2" s="25"/>
      <c r="AW2" s="25"/>
      <c r="AX2" s="25" t="s">
        <v>37</v>
      </c>
      <c r="AY2" s="25" t="s">
        <v>38</v>
      </c>
      <c r="AZ2" s="25" t="s">
        <v>39</v>
      </c>
      <c r="BA2" s="25" t="s">
        <v>40</v>
      </c>
      <c r="BB2" s="25" t="s">
        <v>41</v>
      </c>
      <c r="BC2" s="29" t="s">
        <v>42</v>
      </c>
      <c r="BD2" s="29"/>
      <c r="BE2" s="29"/>
      <c r="BF2" s="29" t="s">
        <v>43</v>
      </c>
      <c r="BG2" s="29" t="s">
        <v>44</v>
      </c>
      <c r="BH2" s="29" t="s">
        <v>45</v>
      </c>
      <c r="BI2" s="29" t="s">
        <v>46</v>
      </c>
      <c r="BJ2" s="29" t="s">
        <v>47</v>
      </c>
      <c r="BK2" s="31" t="s">
        <v>230</v>
      </c>
      <c r="BL2" s="31"/>
      <c r="BM2" s="31"/>
      <c r="BN2" s="31" t="s">
        <v>231</v>
      </c>
      <c r="BO2" s="31"/>
      <c r="BP2" s="31"/>
      <c r="BQ2" s="32" t="s">
        <v>49</v>
      </c>
      <c r="BR2" s="32" t="s">
        <v>50</v>
      </c>
      <c r="BS2" s="32" t="s">
        <v>51</v>
      </c>
      <c r="BT2" s="32" t="s">
        <v>52</v>
      </c>
      <c r="BU2" s="32"/>
      <c r="BV2" s="32"/>
      <c r="BW2" s="32" t="s">
        <v>53</v>
      </c>
      <c r="BX2" s="32" t="s">
        <v>54</v>
      </c>
      <c r="BY2" s="32" t="s">
        <v>36</v>
      </c>
      <c r="BZ2" s="32" t="s">
        <v>55</v>
      </c>
      <c r="CA2" s="32" t="s">
        <v>56</v>
      </c>
      <c r="CB2" s="32"/>
      <c r="CC2" s="32"/>
      <c r="CD2" s="32" t="s">
        <v>57</v>
      </c>
      <c r="CE2" s="32" t="s">
        <v>58</v>
      </c>
      <c r="CF2" s="32" t="s">
        <v>59</v>
      </c>
      <c r="CG2" s="32" t="s">
        <v>60</v>
      </c>
      <c r="CH2" s="16" t="s">
        <v>61</v>
      </c>
      <c r="CI2" s="16" t="s">
        <v>62</v>
      </c>
      <c r="CJ2" s="16" t="s">
        <v>63</v>
      </c>
      <c r="CK2" s="16" t="s">
        <v>64</v>
      </c>
      <c r="CL2" s="16" t="s">
        <v>65</v>
      </c>
      <c r="CM2" s="16" t="s">
        <v>66</v>
      </c>
      <c r="CN2" s="16" t="s">
        <v>67</v>
      </c>
      <c r="CO2" s="16" t="s">
        <v>68</v>
      </c>
    </row>
    <row r="3" spans="1:93" s="4" customFormat="1" ht="15.6" customHeight="1">
      <c r="B3" s="20">
        <f t="shared" ref="B3" si="0">B4-B5</f>
        <v>0</v>
      </c>
      <c r="C3" s="20">
        <f t="shared" ref="C3" si="1">C4-C5</f>
        <v>-0.10000000001309672</v>
      </c>
      <c r="D3" s="20">
        <f t="shared" ref="D3" si="2">D4-D5</f>
        <v>0.10000000000582077</v>
      </c>
      <c r="E3" s="20">
        <f t="shared" ref="E3" si="3">E4-E5</f>
        <v>-0.30000000000291038</v>
      </c>
      <c r="F3" s="20">
        <f t="shared" ref="F3" si="4">F4-F5</f>
        <v>0.19999999999890861</v>
      </c>
      <c r="G3" s="20">
        <f t="shared" ref="G3" si="5">G4-G5</f>
        <v>0</v>
      </c>
      <c r="H3" s="20"/>
      <c r="I3" s="20">
        <f t="shared" ref="I3" si="6">I4-I5</f>
        <v>-0.10000000000127329</v>
      </c>
      <c r="J3" s="20">
        <f t="shared" ref="J3" si="7">J4-J5</f>
        <v>-0.4000000000005457</v>
      </c>
      <c r="K3" s="20">
        <f t="shared" ref="K3" si="8">K4-K5</f>
        <v>0.29999999999999005</v>
      </c>
      <c r="L3" s="20">
        <f t="shared" ref="L3" si="9">L4-L5</f>
        <v>-0.3000000000001819</v>
      </c>
      <c r="M3" s="20">
        <f t="shared" ref="M3" si="10">M4-M5</f>
        <v>-9.9999999999681677E-2</v>
      </c>
      <c r="N3" s="20">
        <f t="shared" ref="N3" si="11">N4-N5</f>
        <v>0</v>
      </c>
      <c r="O3" s="20">
        <f t="shared" ref="O3" si="12">O4-O5</f>
        <v>-0.10000000000127329</v>
      </c>
      <c r="P3" s="20">
        <f t="shared" ref="P3" si="13">P4-P5</f>
        <v>-0.1000000000003638</v>
      </c>
      <c r="Q3" s="20">
        <f t="shared" ref="Q3" si="14">Q4-Q5</f>
        <v>2.0605739337042905E-13</v>
      </c>
      <c r="R3" s="20">
        <f t="shared" ref="R3" si="15">R4-R5</f>
        <v>0</v>
      </c>
      <c r="S3" s="20">
        <f t="shared" ref="S3" si="16">S4-S5</f>
        <v>0</v>
      </c>
      <c r="T3" s="20">
        <f t="shared" ref="T3" si="17">T4-T5</f>
        <v>-9.9999999999909051E-2</v>
      </c>
      <c r="U3" s="20">
        <f t="shared" ref="U3:W3" si="18">U4-U5</f>
        <v>0</v>
      </c>
      <c r="V3" s="20"/>
      <c r="W3" s="20">
        <f>W4-W5</f>
        <v>0.20000000004074536</v>
      </c>
      <c r="AE3" s="10"/>
      <c r="AF3" s="10"/>
      <c r="AG3" s="11"/>
      <c r="AH3" s="10"/>
      <c r="AI3" s="10"/>
      <c r="AJ3" s="10"/>
      <c r="AK3" s="10"/>
      <c r="AL3" s="10"/>
      <c r="AM3" s="20">
        <f t="shared" ref="AM3:BB3" si="19">AM4-AM5</f>
        <v>-0.39999999999417923</v>
      </c>
      <c r="AN3" s="20">
        <f t="shared" si="19"/>
        <v>0.30000000000109139</v>
      </c>
      <c r="AO3" s="20">
        <f t="shared" si="19"/>
        <v>-0.2000000000007276</v>
      </c>
      <c r="AP3" s="20"/>
      <c r="AQ3" s="20">
        <f t="shared" si="19"/>
        <v>-9.9999999999909051E-2</v>
      </c>
      <c r="AR3" s="20">
        <f t="shared" si="19"/>
        <v>0</v>
      </c>
      <c r="AS3" s="20">
        <f t="shared" si="19"/>
        <v>0</v>
      </c>
      <c r="AT3" s="20">
        <f t="shared" si="19"/>
        <v>-9.9999999999454303E-2</v>
      </c>
      <c r="AU3" s="20">
        <f t="shared" si="19"/>
        <v>0</v>
      </c>
      <c r="AV3" s="20">
        <f t="shared" si="19"/>
        <v>0</v>
      </c>
      <c r="AW3" s="20">
        <f t="shared" si="19"/>
        <v>0</v>
      </c>
      <c r="AX3" s="20">
        <f t="shared" si="19"/>
        <v>0</v>
      </c>
      <c r="AY3" s="20">
        <f t="shared" si="19"/>
        <v>0</v>
      </c>
      <c r="AZ3" s="20">
        <f t="shared" si="19"/>
        <v>0</v>
      </c>
      <c r="BA3" s="20">
        <f t="shared" si="19"/>
        <v>0</v>
      </c>
      <c r="BB3" s="20">
        <f t="shared" si="19"/>
        <v>0</v>
      </c>
      <c r="BC3" s="20">
        <f t="shared" ref="BC3" si="20">BC4-BC5</f>
        <v>-1</v>
      </c>
      <c r="BD3" s="20">
        <f t="shared" ref="BD3" si="21">BD4-BD5</f>
        <v>-1</v>
      </c>
      <c r="BE3" s="20">
        <f t="shared" ref="BE3" si="22">BE4-BE5</f>
        <v>0</v>
      </c>
      <c r="BF3" s="20">
        <f t="shared" ref="BF3" si="23">BF4-BF5</f>
        <v>-2</v>
      </c>
      <c r="BG3" s="20">
        <f t="shared" ref="BG3" si="24">BG4-BG5</f>
        <v>-2</v>
      </c>
      <c r="BH3" s="20">
        <f t="shared" ref="BH3" si="25">BH4-BH5</f>
        <v>1</v>
      </c>
      <c r="BI3" s="20">
        <f t="shared" ref="BI3" si="26">BI4-BI5</f>
        <v>1</v>
      </c>
      <c r="BJ3" s="20">
        <f t="shared" ref="BJ3" si="27">BJ4-BJ5</f>
        <v>1</v>
      </c>
      <c r="BK3" s="20">
        <f t="shared" ref="BK3:BL3" si="28">BK4-BK5</f>
        <v>0</v>
      </c>
      <c r="BL3" s="20">
        <f t="shared" si="28"/>
        <v>0</v>
      </c>
      <c r="BM3" s="20">
        <f t="shared" ref="BM3" si="29">BM4-BM5</f>
        <v>0</v>
      </c>
      <c r="BN3" s="20">
        <f t="shared" ref="BN3" si="30">BN4-BN5</f>
        <v>0</v>
      </c>
      <c r="BO3" s="20">
        <f t="shared" ref="BO3" si="31">BO4-BO5</f>
        <v>0</v>
      </c>
      <c r="BP3" s="20">
        <f t="shared" ref="BP3" si="32">BP4-BP5</f>
        <v>0</v>
      </c>
      <c r="BQ3" s="20">
        <f t="shared" ref="BQ3" si="33">BQ4-BQ5</f>
        <v>0</v>
      </c>
      <c r="BR3" s="20">
        <f t="shared" ref="BR3" si="34">BR4-BR5</f>
        <v>0</v>
      </c>
      <c r="BS3" s="20">
        <f t="shared" ref="BS3" si="35">BS4-BS5</f>
        <v>0</v>
      </c>
      <c r="BT3" s="20">
        <f t="shared" ref="BT3" si="36">BT4-BT5</f>
        <v>0</v>
      </c>
      <c r="BU3" s="20">
        <f t="shared" ref="BU3" si="37">BU4-BU5</f>
        <v>0</v>
      </c>
      <c r="BV3" s="20">
        <f t="shared" ref="BV3" si="38">BV4-BV5</f>
        <v>0</v>
      </c>
      <c r="BW3" s="20">
        <f t="shared" ref="BW3:BX3" si="39">BW4-BW5</f>
        <v>0</v>
      </c>
      <c r="BX3" s="20">
        <f t="shared" si="39"/>
        <v>0</v>
      </c>
      <c r="BY3" s="20">
        <f t="shared" ref="BY3" si="40">BY4-BY5</f>
        <v>0</v>
      </c>
      <c r="BZ3" s="20">
        <f t="shared" ref="BZ3" si="41">BZ4-BZ5</f>
        <v>0</v>
      </c>
      <c r="CA3" s="20">
        <f t="shared" ref="CA3" si="42">CA4-CA5</f>
        <v>0</v>
      </c>
      <c r="CB3" s="20">
        <f t="shared" ref="CB3" si="43">CB4-CB5</f>
        <v>0</v>
      </c>
      <c r="CC3" s="20">
        <f t="shared" ref="CC3" si="44">CC4-CC5</f>
        <v>0</v>
      </c>
      <c r="CD3" s="20">
        <f t="shared" ref="CD3" si="45">CD4-CD5</f>
        <v>0</v>
      </c>
      <c r="CE3" s="20">
        <f t="shared" ref="CE3" si="46">CE4-CE5</f>
        <v>0</v>
      </c>
      <c r="CF3" s="20">
        <f t="shared" ref="CF3" si="47">CF4-CF5</f>
        <v>0</v>
      </c>
      <c r="CG3" s="20">
        <f t="shared" ref="CG3" si="48">CG4-CG5</f>
        <v>0</v>
      </c>
      <c r="CH3" s="20">
        <f>CH4-CH5</f>
        <v>-1</v>
      </c>
      <c r="CI3" s="20">
        <f t="shared" ref="CI3:CO3" si="49">CI4-CI5</f>
        <v>-1</v>
      </c>
      <c r="CJ3" s="20">
        <f t="shared" si="49"/>
        <v>1</v>
      </c>
      <c r="CK3" s="20">
        <f t="shared" si="49"/>
        <v>-3</v>
      </c>
      <c r="CL3" s="20">
        <f t="shared" si="49"/>
        <v>2</v>
      </c>
      <c r="CM3" s="20">
        <f t="shared" si="49"/>
        <v>-4</v>
      </c>
      <c r="CN3" s="20">
        <f t="shared" si="49"/>
        <v>1</v>
      </c>
      <c r="CO3" s="20">
        <f t="shared" si="49"/>
        <v>0</v>
      </c>
    </row>
    <row r="4" spans="1:93" s="27" customFormat="1" ht="15.6" customHeight="1">
      <c r="B4" s="28">
        <f t="shared" ref="B4:G4" si="50">SUM(B6:B36)</f>
        <v>31123.000000000004</v>
      </c>
      <c r="C4" s="28">
        <f t="shared" ref="C4:D4" si="51">SUM(C6:C36)</f>
        <v>39802.099999999991</v>
      </c>
      <c r="D4" s="28">
        <f t="shared" si="51"/>
        <v>-8679.0999999999985</v>
      </c>
      <c r="E4" s="28">
        <f t="shared" si="50"/>
        <v>29895.299999999996</v>
      </c>
      <c r="F4" s="28">
        <f t="shared" si="50"/>
        <v>8679.4</v>
      </c>
      <c r="G4" s="28">
        <f t="shared" si="50"/>
        <v>1227.4000000000003</v>
      </c>
      <c r="H4" s="28"/>
      <c r="I4" s="28">
        <f t="shared" ref="I4:U4" si="52">SUM(I6:I36)</f>
        <v>5927.8999999999987</v>
      </c>
      <c r="J4" s="28">
        <f t="shared" ref="J4:K4" si="53">SUM(J6:J36)</f>
        <v>5927.5999999999995</v>
      </c>
      <c r="K4" s="19">
        <f t="shared" si="53"/>
        <v>0.29999999999999005</v>
      </c>
      <c r="L4" s="28">
        <f t="shared" si="52"/>
        <v>4892.0999999999995</v>
      </c>
      <c r="M4" s="28">
        <f t="shared" si="52"/>
        <v>783.90000000000032</v>
      </c>
      <c r="N4" s="28">
        <f t="shared" si="52"/>
        <v>251.60000000000005</v>
      </c>
      <c r="O4" s="28">
        <f t="shared" si="52"/>
        <v>5927.8999999999987</v>
      </c>
      <c r="P4" s="28">
        <f t="shared" si="52"/>
        <v>5927.9</v>
      </c>
      <c r="Q4" s="28">
        <f t="shared" si="52"/>
        <v>2.0605739337042905E-13</v>
      </c>
      <c r="R4" s="28">
        <f t="shared" si="52"/>
        <v>3648.4</v>
      </c>
      <c r="S4" s="28">
        <f t="shared" si="52"/>
        <v>970.99999999999989</v>
      </c>
      <c r="T4" s="28">
        <f t="shared" si="52"/>
        <v>926.7</v>
      </c>
      <c r="U4" s="28">
        <f t="shared" si="52"/>
        <v>381.79999999999995</v>
      </c>
      <c r="V4" s="28"/>
      <c r="W4" s="28">
        <f t="shared" ref="W4" si="54">SUM(W6:W36)</f>
        <v>128609.00000000004</v>
      </c>
      <c r="AE4" s="11"/>
      <c r="AF4" s="11"/>
      <c r="AG4" s="11"/>
      <c r="AH4" s="11"/>
      <c r="AI4" s="11"/>
      <c r="AJ4" s="11"/>
      <c r="AK4" s="11"/>
      <c r="AL4" s="11"/>
      <c r="AM4" s="28">
        <f t="shared" ref="AM4:BB4" si="55">SUM(AM6:AM36)</f>
        <v>72431.3</v>
      </c>
      <c r="AN4" s="28">
        <f t="shared" si="55"/>
        <v>4988.5000000000009</v>
      </c>
      <c r="AO4" s="28">
        <f t="shared" ref="AO4" si="56">SUM(AO6:AO36)</f>
        <v>4988</v>
      </c>
      <c r="AP4" s="28"/>
      <c r="AQ4" s="28">
        <f t="shared" si="55"/>
        <v>1563.8000000000002</v>
      </c>
      <c r="AR4" s="28">
        <f t="shared" si="55"/>
        <v>517.20000000000005</v>
      </c>
      <c r="AS4" s="28">
        <f t="shared" si="55"/>
        <v>468.40000000000009</v>
      </c>
      <c r="AT4" s="28">
        <f t="shared" si="55"/>
        <v>2438.6000000000004</v>
      </c>
      <c r="AU4" s="28">
        <f t="shared" si="55"/>
        <v>570410</v>
      </c>
      <c r="AV4" s="28">
        <f t="shared" si="55"/>
        <v>570410</v>
      </c>
      <c r="AW4" s="28">
        <f t="shared" si="55"/>
        <v>0</v>
      </c>
      <c r="AX4" s="28">
        <f t="shared" si="55"/>
        <v>337486</v>
      </c>
      <c r="AY4" s="28">
        <f t="shared" si="55"/>
        <v>71246</v>
      </c>
      <c r="AZ4" s="28">
        <f t="shared" si="55"/>
        <v>22880</v>
      </c>
      <c r="BA4" s="28">
        <f t="shared" si="55"/>
        <v>90027</v>
      </c>
      <c r="BB4" s="28">
        <f t="shared" si="55"/>
        <v>48771</v>
      </c>
      <c r="BC4" s="28">
        <f t="shared" ref="BC4:BJ4" si="57">SUM(BC6:BC36)</f>
        <v>4797646</v>
      </c>
      <c r="BD4" s="28">
        <f t="shared" ref="BD4:BE4" si="58">SUM(BD6:BD36)</f>
        <v>4797647</v>
      </c>
      <c r="BE4" s="28">
        <f t="shared" si="58"/>
        <v>-1</v>
      </c>
      <c r="BF4" s="28">
        <f t="shared" si="57"/>
        <v>744751</v>
      </c>
      <c r="BG4" s="28">
        <f t="shared" si="57"/>
        <v>3231674</v>
      </c>
      <c r="BH4" s="28">
        <f t="shared" si="57"/>
        <v>194668</v>
      </c>
      <c r="BI4" s="28">
        <f t="shared" si="57"/>
        <v>3857</v>
      </c>
      <c r="BJ4" s="28">
        <f t="shared" si="57"/>
        <v>622697</v>
      </c>
      <c r="BK4" s="28">
        <f t="shared" ref="BK4:CG4" si="59">SUM(BK6:BK36)</f>
        <v>1093551</v>
      </c>
      <c r="BL4" s="28">
        <f t="shared" ref="BL4" si="60">SUM(BL6:BL36)</f>
        <v>1084453</v>
      </c>
      <c r="BM4" s="28">
        <f t="shared" ref="BM4" si="61">SUM(BM6:BM36)</f>
        <v>9098</v>
      </c>
      <c r="BN4" s="28">
        <f t="shared" si="59"/>
        <v>38710</v>
      </c>
      <c r="BO4" s="28">
        <f t="shared" si="59"/>
        <v>36332</v>
      </c>
      <c r="BP4" s="28">
        <f t="shared" si="59"/>
        <v>2378</v>
      </c>
      <c r="BQ4" s="28">
        <f t="shared" si="59"/>
        <v>20257</v>
      </c>
      <c r="BR4" s="28">
        <f t="shared" si="59"/>
        <v>5263</v>
      </c>
      <c r="BS4" s="28">
        <f t="shared" si="59"/>
        <v>10812</v>
      </c>
      <c r="BT4" s="28">
        <f t="shared" si="59"/>
        <v>1040023</v>
      </c>
      <c r="BU4" s="28">
        <f t="shared" ref="BU4:BV4" si="62">SUM(BU6:BU36)</f>
        <v>1039509</v>
      </c>
      <c r="BV4" s="28">
        <f t="shared" si="62"/>
        <v>514</v>
      </c>
      <c r="BW4" s="28">
        <f t="shared" si="59"/>
        <v>37301</v>
      </c>
      <c r="BX4" s="28">
        <f t="shared" si="59"/>
        <v>33334</v>
      </c>
      <c r="BY4" s="28">
        <f t="shared" si="59"/>
        <v>570410</v>
      </c>
      <c r="BZ4" s="28">
        <f t="shared" si="59"/>
        <v>398464</v>
      </c>
      <c r="CA4" s="28">
        <f t="shared" si="59"/>
        <v>10547</v>
      </c>
      <c r="CB4" s="28">
        <f t="shared" si="59"/>
        <v>8612</v>
      </c>
      <c r="CC4" s="28">
        <f t="shared" si="59"/>
        <v>1935</v>
      </c>
      <c r="CD4" s="28">
        <f t="shared" si="59"/>
        <v>3439</v>
      </c>
      <c r="CE4" s="28">
        <f t="shared" si="59"/>
        <v>791</v>
      </c>
      <c r="CF4" s="28">
        <f t="shared" si="59"/>
        <v>3073</v>
      </c>
      <c r="CG4" s="28">
        <f t="shared" si="59"/>
        <v>1309</v>
      </c>
      <c r="CH4" s="28">
        <f>SUM(CH6:CH36)</f>
        <v>27998826</v>
      </c>
      <c r="CI4" s="28">
        <f t="shared" ref="CI4:CO4" si="63">SUM(CI6:CI36)</f>
        <v>1058760</v>
      </c>
      <c r="CJ4" s="28">
        <f t="shared" si="63"/>
        <v>3248477</v>
      </c>
      <c r="CK4" s="28">
        <f t="shared" si="63"/>
        <v>390478</v>
      </c>
      <c r="CL4" s="28">
        <f t="shared" si="63"/>
        <v>1566</v>
      </c>
      <c r="CM4" s="28">
        <f t="shared" si="63"/>
        <v>47842</v>
      </c>
      <c r="CN4" s="28">
        <f t="shared" si="63"/>
        <v>22841</v>
      </c>
      <c r="CO4" s="28">
        <f t="shared" si="63"/>
        <v>37783</v>
      </c>
    </row>
    <row r="5" spans="1:93">
      <c r="A5" t="s">
        <v>69</v>
      </c>
      <c r="B5">
        <v>31123</v>
      </c>
      <c r="C5" s="18">
        <f t="shared" ref="C5" si="64">SUM(E5:G5)</f>
        <v>39802.200000000004</v>
      </c>
      <c r="D5" s="24">
        <f>B5-C5</f>
        <v>-8679.2000000000044</v>
      </c>
      <c r="E5">
        <v>29895.599999999999</v>
      </c>
      <c r="F5" s="34">
        <v>8679.2000000000007</v>
      </c>
      <c r="G5">
        <v>1227.4000000000001</v>
      </c>
      <c r="H5">
        <v>2208.9</v>
      </c>
      <c r="I5">
        <v>5928</v>
      </c>
      <c r="J5" s="18">
        <f>SUM(L5:N5)</f>
        <v>5928</v>
      </c>
      <c r="K5" s="19">
        <f>I5-J5</f>
        <v>0</v>
      </c>
      <c r="L5">
        <v>4892.3999999999996</v>
      </c>
      <c r="M5">
        <v>784</v>
      </c>
      <c r="N5">
        <v>251.6</v>
      </c>
      <c r="O5">
        <v>5928</v>
      </c>
      <c r="P5" s="18">
        <f>SUM(R5:U5)</f>
        <v>5928</v>
      </c>
      <c r="Q5" s="19">
        <f>O5-P5</f>
        <v>0</v>
      </c>
      <c r="R5">
        <v>3648.4</v>
      </c>
      <c r="S5">
        <v>971</v>
      </c>
      <c r="T5">
        <v>926.8</v>
      </c>
      <c r="U5">
        <v>381.8</v>
      </c>
      <c r="V5">
        <v>420.7</v>
      </c>
      <c r="W5">
        <v>128608.8</v>
      </c>
      <c r="X5">
        <v>19610.900000000001</v>
      </c>
      <c r="Y5">
        <v>283695.7</v>
      </c>
      <c r="Z5">
        <v>263215.7</v>
      </c>
      <c r="AA5">
        <v>23519.8</v>
      </c>
      <c r="AB5">
        <v>36103.699999999997</v>
      </c>
      <c r="AC5">
        <v>10429.1</v>
      </c>
      <c r="AD5">
        <v>36264.800000000003</v>
      </c>
      <c r="AE5">
        <v>52100170</v>
      </c>
      <c r="AF5" s="18">
        <f>SUM(AH5:AL5)</f>
        <v>52100170</v>
      </c>
      <c r="AG5" s="19">
        <f>AE5-AF5</f>
        <v>0</v>
      </c>
      <c r="AH5">
        <v>4789427</v>
      </c>
      <c r="AI5">
        <v>5511287</v>
      </c>
      <c r="AJ5">
        <v>29090366</v>
      </c>
      <c r="AK5">
        <v>8674601</v>
      </c>
      <c r="AL5">
        <v>4034489</v>
      </c>
      <c r="AM5">
        <v>72431.7</v>
      </c>
      <c r="AN5">
        <v>4988.2</v>
      </c>
      <c r="AO5" s="18">
        <f>SUM(AQ5:AT5)</f>
        <v>4988.2000000000007</v>
      </c>
      <c r="AP5" s="18">
        <f>AN5-AO5</f>
        <v>0</v>
      </c>
      <c r="AQ5">
        <v>1563.9</v>
      </c>
      <c r="AR5">
        <v>517.20000000000005</v>
      </c>
      <c r="AS5">
        <v>468.4</v>
      </c>
      <c r="AT5">
        <v>2438.6999999999998</v>
      </c>
      <c r="AU5">
        <v>570410</v>
      </c>
      <c r="AV5" s="18">
        <f>SUM(AX5:BB5)</f>
        <v>570410</v>
      </c>
      <c r="AW5" s="24">
        <f>AU5-AV5</f>
        <v>0</v>
      </c>
      <c r="AX5">
        <v>337486</v>
      </c>
      <c r="AY5">
        <v>71246</v>
      </c>
      <c r="AZ5">
        <v>22880</v>
      </c>
      <c r="BA5">
        <v>90027</v>
      </c>
      <c r="BB5">
        <v>48771</v>
      </c>
      <c r="BC5">
        <v>4797647</v>
      </c>
      <c r="BD5" s="18">
        <f>SUM(BF5:BJ5)</f>
        <v>4797648</v>
      </c>
      <c r="BE5" s="19">
        <f>BC5-BD5</f>
        <v>-1</v>
      </c>
      <c r="BF5">
        <v>744753</v>
      </c>
      <c r="BG5">
        <v>3231676</v>
      </c>
      <c r="BH5">
        <v>194667</v>
      </c>
      <c r="BI5">
        <v>3856</v>
      </c>
      <c r="BJ5">
        <v>622696</v>
      </c>
      <c r="BK5">
        <v>1093551</v>
      </c>
      <c r="BL5" s="18">
        <f>BO5+BU5+CB5</f>
        <v>1084453</v>
      </c>
      <c r="BM5" s="19">
        <f>BK5-BL5</f>
        <v>9098</v>
      </c>
      <c r="BN5">
        <v>38710</v>
      </c>
      <c r="BO5" s="18">
        <f>SUM(BQ5:BS5)</f>
        <v>36332</v>
      </c>
      <c r="BP5" s="19">
        <f>BN5-BO5</f>
        <v>2378</v>
      </c>
      <c r="BQ5">
        <v>20257</v>
      </c>
      <c r="BR5">
        <v>5263</v>
      </c>
      <c r="BS5" s="30">
        <v>10812</v>
      </c>
      <c r="BT5">
        <v>1040023</v>
      </c>
      <c r="BU5" s="18">
        <f>SUM(BW5:BZ5)</f>
        <v>1039509</v>
      </c>
      <c r="BV5" s="19">
        <f>BT5-BU5</f>
        <v>514</v>
      </c>
      <c r="BW5">
        <v>37301</v>
      </c>
      <c r="BX5">
        <v>33334</v>
      </c>
      <c r="BY5">
        <v>570410</v>
      </c>
      <c r="BZ5">
        <v>398464</v>
      </c>
      <c r="CA5">
        <v>10547</v>
      </c>
      <c r="CB5" s="18">
        <f>SUM(CD5:CG5)</f>
        <v>8612</v>
      </c>
      <c r="CC5" s="19">
        <f>CA5-CB5</f>
        <v>1935</v>
      </c>
      <c r="CD5">
        <v>3439</v>
      </c>
      <c r="CE5">
        <v>791</v>
      </c>
      <c r="CF5">
        <v>3073</v>
      </c>
      <c r="CG5">
        <v>1309</v>
      </c>
      <c r="CH5">
        <v>27998827</v>
      </c>
      <c r="CI5">
        <v>1058761</v>
      </c>
      <c r="CJ5">
        <v>3248476</v>
      </c>
      <c r="CK5">
        <v>390481</v>
      </c>
      <c r="CL5">
        <v>1564</v>
      </c>
      <c r="CM5">
        <v>47846</v>
      </c>
      <c r="CN5">
        <v>22840</v>
      </c>
      <c r="CO5">
        <v>37783</v>
      </c>
    </row>
    <row r="6" spans="1:93">
      <c r="A6" t="s">
        <v>70</v>
      </c>
      <c r="B6">
        <v>52.9</v>
      </c>
      <c r="C6" s="18">
        <f>SUM(E6:G6)</f>
        <v>94.9</v>
      </c>
      <c r="D6" s="24">
        <f t="shared" ref="D6:D36" si="65">B6-C6</f>
        <v>-42.000000000000007</v>
      </c>
      <c r="E6">
        <v>24.5</v>
      </c>
      <c r="F6" s="34">
        <v>42</v>
      </c>
      <c r="G6">
        <v>28.4</v>
      </c>
      <c r="H6">
        <v>242.2</v>
      </c>
      <c r="I6">
        <v>42.1</v>
      </c>
      <c r="J6" s="18">
        <f t="shared" ref="J6:J36" si="66">SUM(L6:N6)</f>
        <v>42.099999999999994</v>
      </c>
      <c r="K6" s="19">
        <f t="shared" ref="K6:K36" si="67">I6-J6</f>
        <v>0</v>
      </c>
      <c r="L6">
        <v>16.7</v>
      </c>
      <c r="M6">
        <v>12.2</v>
      </c>
      <c r="N6">
        <v>13.2</v>
      </c>
      <c r="O6">
        <v>42.1</v>
      </c>
      <c r="P6" s="18">
        <f t="shared" ref="P6:P36" si="68">SUM(R6:U6)</f>
        <v>42.1</v>
      </c>
      <c r="Q6" s="19">
        <f t="shared" ref="Q6:Q36" si="69">O6-P6</f>
        <v>0</v>
      </c>
      <c r="R6">
        <v>2.4</v>
      </c>
      <c r="S6">
        <v>2.8</v>
      </c>
      <c r="T6">
        <v>19.3</v>
      </c>
      <c r="U6">
        <v>17.600000000000001</v>
      </c>
      <c r="V6">
        <v>192.7</v>
      </c>
      <c r="W6">
        <v>130.69999999999999</v>
      </c>
      <c r="X6">
        <v>105.3</v>
      </c>
      <c r="Y6">
        <v>963.2</v>
      </c>
      <c r="Z6">
        <v>16.100000000000001</v>
      </c>
      <c r="AA6">
        <v>3</v>
      </c>
      <c r="AB6">
        <v>295.8</v>
      </c>
      <c r="AC6">
        <v>52.2</v>
      </c>
      <c r="AD6">
        <v>63.7</v>
      </c>
      <c r="AE6">
        <v>1860629</v>
      </c>
      <c r="AF6" s="18">
        <f t="shared" ref="AF6:AF36" si="70">SUM(AH6:AL6)</f>
        <v>1860629</v>
      </c>
      <c r="AG6" s="19">
        <f t="shared" ref="AG6:AG36" si="71">AE6-AF6</f>
        <v>0</v>
      </c>
      <c r="AH6">
        <v>197424</v>
      </c>
      <c r="AI6">
        <v>245789</v>
      </c>
      <c r="AJ6">
        <v>569118</v>
      </c>
      <c r="AK6">
        <v>630811</v>
      </c>
      <c r="AL6">
        <v>217487</v>
      </c>
      <c r="AM6">
        <v>120.6</v>
      </c>
      <c r="AN6">
        <v>6.7</v>
      </c>
      <c r="AO6" s="18">
        <f t="shared" ref="AO6:AO36" si="72">SUM(AQ6:AT6)</f>
        <v>6.6</v>
      </c>
      <c r="AP6" s="18">
        <f t="shared" ref="AP6:AP36" si="73">AN6-AO6</f>
        <v>0.10000000000000053</v>
      </c>
      <c r="AQ6">
        <v>1.7</v>
      </c>
      <c r="AR6">
        <v>0.2</v>
      </c>
      <c r="AS6">
        <v>0.3</v>
      </c>
      <c r="AT6">
        <v>4.4000000000000004</v>
      </c>
      <c r="AU6">
        <v>2552</v>
      </c>
      <c r="AV6" s="18">
        <f t="shared" ref="AV6:AV36" si="74">SUM(AX6:BB6)</f>
        <v>2552</v>
      </c>
      <c r="AW6" s="24">
        <f t="shared" ref="AW6:AW36" si="75">AU6-AV6</f>
        <v>0</v>
      </c>
      <c r="AX6">
        <v>2327</v>
      </c>
      <c r="AY6">
        <v>74</v>
      </c>
      <c r="AZ6">
        <v>1</v>
      </c>
      <c r="BA6">
        <v>142</v>
      </c>
      <c r="BB6">
        <v>8</v>
      </c>
      <c r="BC6">
        <v>4658</v>
      </c>
      <c r="BD6" s="18">
        <f t="shared" ref="BD6:BD36" si="76">SUM(BF6:BJ6)</f>
        <v>4658</v>
      </c>
      <c r="BE6" s="19">
        <f t="shared" ref="BE6:BE36" si="77">BC6-BD6</f>
        <v>0</v>
      </c>
      <c r="BF6">
        <v>1055</v>
      </c>
      <c r="BG6">
        <v>3595</v>
      </c>
      <c r="BH6" t="s">
        <v>71</v>
      </c>
      <c r="BI6" t="s">
        <v>71</v>
      </c>
      <c r="BJ6">
        <v>8</v>
      </c>
      <c r="BK6">
        <v>11273</v>
      </c>
      <c r="BL6" s="18">
        <f t="shared" ref="BL6:BL36" si="78">BO6+BU6+CB6</f>
        <v>10976</v>
      </c>
      <c r="BM6" s="19">
        <f t="shared" ref="BM6:BM36" si="79">BK6-BL6</f>
        <v>297</v>
      </c>
      <c r="BN6">
        <v>682</v>
      </c>
      <c r="BO6" s="18">
        <f t="shared" ref="BO6:BO36" si="80">SUM(BQ6:BS6)</f>
        <v>606</v>
      </c>
      <c r="BP6" s="19">
        <f t="shared" ref="BP6:BP36" si="81">BN6-BO6</f>
        <v>76</v>
      </c>
      <c r="BQ6">
        <v>197</v>
      </c>
      <c r="BR6" s="13">
        <v>199</v>
      </c>
      <c r="BS6" s="30">
        <v>210</v>
      </c>
      <c r="BT6">
        <v>10290</v>
      </c>
      <c r="BU6" s="18">
        <f t="shared" ref="BU6:BU36" si="82">SUM(BW6:BZ6)</f>
        <v>10290</v>
      </c>
      <c r="BV6" s="19">
        <f t="shared" ref="BV6:BV36" si="83">BT6-BU6</f>
        <v>0</v>
      </c>
      <c r="BW6">
        <v>2016</v>
      </c>
      <c r="BX6" s="13"/>
      <c r="BY6">
        <v>2552</v>
      </c>
      <c r="BZ6">
        <v>5722</v>
      </c>
      <c r="CA6">
        <v>95</v>
      </c>
      <c r="CB6" s="18">
        <f t="shared" ref="CB6:CB36" si="84">SUM(CD6:CG6)</f>
        <v>80</v>
      </c>
      <c r="CC6" s="19">
        <f t="shared" ref="CC6:CC36" si="85">CA6-CB6</f>
        <v>15</v>
      </c>
      <c r="CD6">
        <v>29</v>
      </c>
      <c r="CE6">
        <v>16</v>
      </c>
      <c r="CF6">
        <v>18</v>
      </c>
      <c r="CG6">
        <v>17</v>
      </c>
      <c r="CH6">
        <v>114599</v>
      </c>
      <c r="CI6">
        <v>9356</v>
      </c>
      <c r="CJ6">
        <v>23650</v>
      </c>
      <c r="CK6">
        <v>1185</v>
      </c>
      <c r="CL6">
        <v>4</v>
      </c>
      <c r="CM6">
        <v>131</v>
      </c>
      <c r="CN6">
        <v>19</v>
      </c>
      <c r="CO6">
        <v>54</v>
      </c>
    </row>
    <row r="7" spans="1:93">
      <c r="A7" t="s">
        <v>72</v>
      </c>
      <c r="B7">
        <v>25.2</v>
      </c>
      <c r="C7" s="18">
        <f t="shared" ref="C7:C36" si="86">SUM(E7:G7)</f>
        <v>34.9</v>
      </c>
      <c r="D7" s="24">
        <f t="shared" si="65"/>
        <v>-9.6999999999999993</v>
      </c>
      <c r="E7">
        <v>16.899999999999999</v>
      </c>
      <c r="F7" s="34">
        <v>9.6999999999999993</v>
      </c>
      <c r="G7">
        <v>8.3000000000000007</v>
      </c>
      <c r="H7">
        <v>184.8</v>
      </c>
      <c r="I7">
        <v>32</v>
      </c>
      <c r="J7" s="18">
        <f t="shared" si="66"/>
        <v>31.9</v>
      </c>
      <c r="K7" s="19">
        <f t="shared" si="67"/>
        <v>0.10000000000000142</v>
      </c>
      <c r="L7">
        <v>22.7</v>
      </c>
      <c r="M7">
        <v>2.5</v>
      </c>
      <c r="N7">
        <v>6.7</v>
      </c>
      <c r="O7">
        <v>32</v>
      </c>
      <c r="P7" s="18">
        <f t="shared" si="68"/>
        <v>32.1</v>
      </c>
      <c r="Q7" s="19">
        <f t="shared" si="69"/>
        <v>-0.10000000000000142</v>
      </c>
      <c r="R7">
        <v>8.8000000000000007</v>
      </c>
      <c r="S7">
        <v>4.7</v>
      </c>
      <c r="T7">
        <v>7.3</v>
      </c>
      <c r="U7">
        <v>11.3</v>
      </c>
      <c r="V7">
        <v>234.6</v>
      </c>
      <c r="W7">
        <v>336.7</v>
      </c>
      <c r="X7">
        <v>34.6</v>
      </c>
      <c r="Y7">
        <v>145.5</v>
      </c>
      <c r="Z7">
        <v>14.2</v>
      </c>
      <c r="AA7">
        <v>32.9</v>
      </c>
      <c r="AB7">
        <v>332.9</v>
      </c>
      <c r="AC7">
        <v>47.4</v>
      </c>
      <c r="AD7">
        <v>234.6</v>
      </c>
      <c r="AE7">
        <v>257269</v>
      </c>
      <c r="AF7" s="18">
        <f t="shared" si="70"/>
        <v>257269</v>
      </c>
      <c r="AG7" s="19">
        <f t="shared" si="71"/>
        <v>0</v>
      </c>
      <c r="AH7">
        <v>56338</v>
      </c>
      <c r="AI7">
        <v>28491</v>
      </c>
      <c r="AJ7">
        <v>124691</v>
      </c>
      <c r="AK7">
        <v>47680</v>
      </c>
      <c r="AL7">
        <v>69</v>
      </c>
      <c r="AM7">
        <v>309.5</v>
      </c>
      <c r="AN7">
        <v>15.2</v>
      </c>
      <c r="AO7" s="18">
        <f t="shared" si="72"/>
        <v>15.2</v>
      </c>
      <c r="AP7" s="18">
        <f t="shared" si="73"/>
        <v>0</v>
      </c>
      <c r="AQ7">
        <v>4.3</v>
      </c>
      <c r="AR7">
        <v>1.4</v>
      </c>
      <c r="AS7">
        <v>1.1000000000000001</v>
      </c>
      <c r="AT7">
        <v>8.4</v>
      </c>
      <c r="AU7">
        <v>2315</v>
      </c>
      <c r="AV7" s="18">
        <f t="shared" si="74"/>
        <v>2315</v>
      </c>
      <c r="AW7" s="24">
        <f t="shared" si="75"/>
        <v>0</v>
      </c>
      <c r="AX7">
        <v>549</v>
      </c>
      <c r="AY7">
        <v>847</v>
      </c>
      <c r="AZ7">
        <v>202</v>
      </c>
      <c r="BA7">
        <v>132</v>
      </c>
      <c r="BB7">
        <v>585</v>
      </c>
      <c r="BC7">
        <v>12807</v>
      </c>
      <c r="BD7" s="18">
        <f t="shared" si="76"/>
        <v>12807</v>
      </c>
      <c r="BE7" s="19">
        <f t="shared" si="77"/>
        <v>0</v>
      </c>
      <c r="BF7">
        <v>31</v>
      </c>
      <c r="BG7">
        <v>7307</v>
      </c>
      <c r="BH7">
        <v>8</v>
      </c>
      <c r="BI7" t="s">
        <v>71</v>
      </c>
      <c r="BJ7">
        <v>5461</v>
      </c>
      <c r="BK7">
        <v>6939</v>
      </c>
      <c r="BL7" s="18">
        <f t="shared" si="78"/>
        <v>6826</v>
      </c>
      <c r="BM7" s="19">
        <f t="shared" si="79"/>
        <v>113</v>
      </c>
      <c r="BN7">
        <v>453</v>
      </c>
      <c r="BO7" s="18">
        <f t="shared" si="80"/>
        <v>445</v>
      </c>
      <c r="BP7" s="19">
        <f t="shared" si="81"/>
        <v>8</v>
      </c>
      <c r="BQ7">
        <v>276</v>
      </c>
      <c r="BR7">
        <v>63</v>
      </c>
      <c r="BS7" s="30">
        <v>106</v>
      </c>
      <c r="BT7">
        <v>6333</v>
      </c>
      <c r="BU7" s="18">
        <f t="shared" si="82"/>
        <v>6328</v>
      </c>
      <c r="BV7" s="19">
        <f t="shared" si="83"/>
        <v>5</v>
      </c>
      <c r="BW7">
        <v>662</v>
      </c>
      <c r="BX7" s="13">
        <v>131</v>
      </c>
      <c r="BY7">
        <v>2315</v>
      </c>
      <c r="BZ7">
        <v>3220</v>
      </c>
      <c r="CA7">
        <v>68</v>
      </c>
      <c r="CB7" s="18">
        <f t="shared" si="84"/>
        <v>53</v>
      </c>
      <c r="CC7" s="19">
        <f t="shared" si="85"/>
        <v>15</v>
      </c>
      <c r="CD7">
        <v>20</v>
      </c>
      <c r="CE7">
        <v>3</v>
      </c>
      <c r="CF7">
        <v>17</v>
      </c>
      <c r="CG7">
        <v>13</v>
      </c>
      <c r="CH7">
        <v>189195</v>
      </c>
      <c r="CI7">
        <v>6831</v>
      </c>
      <c r="CJ7">
        <v>18242</v>
      </c>
      <c r="CK7">
        <v>2054</v>
      </c>
      <c r="CL7">
        <v>4</v>
      </c>
      <c r="CM7">
        <v>23</v>
      </c>
      <c r="CN7">
        <v>50</v>
      </c>
      <c r="CO7">
        <v>199</v>
      </c>
    </row>
    <row r="8" spans="1:93">
      <c r="A8" t="s">
        <v>73</v>
      </c>
      <c r="B8">
        <v>247.9</v>
      </c>
      <c r="C8" s="18">
        <f t="shared" si="86"/>
        <v>427.90000000000003</v>
      </c>
      <c r="D8" s="24">
        <f t="shared" si="65"/>
        <v>-180.00000000000003</v>
      </c>
      <c r="E8">
        <v>140.80000000000001</v>
      </c>
      <c r="F8" s="34">
        <v>179.9</v>
      </c>
      <c r="G8">
        <v>107.2</v>
      </c>
      <c r="H8">
        <v>335.7</v>
      </c>
      <c r="I8">
        <v>189.8</v>
      </c>
      <c r="J8" s="18">
        <f t="shared" si="66"/>
        <v>189.8</v>
      </c>
      <c r="K8" s="19">
        <f t="shared" si="67"/>
        <v>0</v>
      </c>
      <c r="L8">
        <v>97.9</v>
      </c>
      <c r="M8">
        <v>73.2</v>
      </c>
      <c r="N8">
        <v>18.7</v>
      </c>
      <c r="O8">
        <v>189.8</v>
      </c>
      <c r="P8" s="18">
        <f t="shared" si="68"/>
        <v>189.8</v>
      </c>
      <c r="Q8" s="19">
        <f t="shared" si="69"/>
        <v>0</v>
      </c>
      <c r="R8">
        <v>100.2</v>
      </c>
      <c r="S8">
        <v>16.2</v>
      </c>
      <c r="T8">
        <v>29.1</v>
      </c>
      <c r="U8">
        <v>44.3</v>
      </c>
      <c r="V8">
        <v>257</v>
      </c>
      <c r="W8">
        <v>6088.4</v>
      </c>
      <c r="X8">
        <v>955.3</v>
      </c>
      <c r="Y8">
        <v>6333.9</v>
      </c>
      <c r="Z8">
        <v>1916.6</v>
      </c>
      <c r="AA8">
        <v>135.9</v>
      </c>
      <c r="AB8">
        <v>2163.8000000000002</v>
      </c>
      <c r="AC8">
        <v>434.6</v>
      </c>
      <c r="AD8">
        <v>590.79999999999995</v>
      </c>
      <c r="AE8">
        <v>3233889</v>
      </c>
      <c r="AF8" s="18">
        <f t="shared" si="70"/>
        <v>3233889</v>
      </c>
      <c r="AG8" s="19">
        <f t="shared" si="71"/>
        <v>0</v>
      </c>
      <c r="AH8">
        <v>57234</v>
      </c>
      <c r="AI8">
        <v>714143</v>
      </c>
      <c r="AJ8">
        <v>1789098</v>
      </c>
      <c r="AK8">
        <v>521281</v>
      </c>
      <c r="AL8">
        <v>152133</v>
      </c>
      <c r="AM8">
        <v>4123.2</v>
      </c>
      <c r="AN8">
        <v>263.39999999999998</v>
      </c>
      <c r="AO8" s="18">
        <f t="shared" si="72"/>
        <v>263.29999999999995</v>
      </c>
      <c r="AP8" s="18">
        <f t="shared" si="73"/>
        <v>0.10000000000002274</v>
      </c>
      <c r="AQ8">
        <v>85.7</v>
      </c>
      <c r="AR8">
        <v>18.8</v>
      </c>
      <c r="AS8">
        <v>18.100000000000001</v>
      </c>
      <c r="AT8">
        <v>140.69999999999999</v>
      </c>
      <c r="AU8">
        <v>58222</v>
      </c>
      <c r="AV8" s="18">
        <f t="shared" si="74"/>
        <v>58222</v>
      </c>
      <c r="AW8" s="24">
        <f t="shared" si="75"/>
        <v>0</v>
      </c>
      <c r="AX8">
        <v>35253</v>
      </c>
      <c r="AY8">
        <v>2632</v>
      </c>
      <c r="AZ8">
        <v>1159</v>
      </c>
      <c r="BA8">
        <v>15401</v>
      </c>
      <c r="BB8">
        <v>3777</v>
      </c>
      <c r="BC8">
        <v>289888</v>
      </c>
      <c r="BD8" s="18">
        <f t="shared" si="76"/>
        <v>289888</v>
      </c>
      <c r="BE8" s="19">
        <f t="shared" si="77"/>
        <v>0</v>
      </c>
      <c r="BF8">
        <v>11375</v>
      </c>
      <c r="BG8">
        <v>250214</v>
      </c>
      <c r="BH8">
        <v>100</v>
      </c>
      <c r="BI8" t="s">
        <v>71</v>
      </c>
      <c r="BJ8">
        <v>28199</v>
      </c>
      <c r="BK8">
        <v>93648</v>
      </c>
      <c r="BL8" s="18">
        <f t="shared" si="78"/>
        <v>93373</v>
      </c>
      <c r="BM8" s="19">
        <f t="shared" si="79"/>
        <v>275</v>
      </c>
      <c r="BN8">
        <v>2528</v>
      </c>
      <c r="BO8" s="18">
        <f t="shared" si="80"/>
        <v>2446</v>
      </c>
      <c r="BP8" s="19">
        <f t="shared" si="81"/>
        <v>82</v>
      </c>
      <c r="BQ8">
        <v>1594</v>
      </c>
      <c r="BR8">
        <v>327</v>
      </c>
      <c r="BS8" s="30">
        <v>525</v>
      </c>
      <c r="BT8">
        <v>90464</v>
      </c>
      <c r="BU8" s="18">
        <f t="shared" si="82"/>
        <v>90464</v>
      </c>
      <c r="BV8" s="19">
        <f t="shared" si="83"/>
        <v>0</v>
      </c>
      <c r="BW8">
        <v>1680</v>
      </c>
      <c r="BX8" s="13">
        <v>1965</v>
      </c>
      <c r="BY8">
        <v>58222</v>
      </c>
      <c r="BZ8">
        <v>28597</v>
      </c>
      <c r="CA8">
        <v>515</v>
      </c>
      <c r="CB8" s="18">
        <f t="shared" si="84"/>
        <v>463</v>
      </c>
      <c r="CC8" s="19">
        <f t="shared" si="85"/>
        <v>52</v>
      </c>
      <c r="CD8">
        <v>188</v>
      </c>
      <c r="CE8">
        <v>13</v>
      </c>
      <c r="CF8">
        <v>184</v>
      </c>
      <c r="CG8">
        <v>78</v>
      </c>
      <c r="CH8">
        <v>1536069</v>
      </c>
      <c r="CI8">
        <v>42970</v>
      </c>
      <c r="CJ8">
        <v>131062</v>
      </c>
      <c r="CK8">
        <v>16123</v>
      </c>
      <c r="CL8">
        <v>101</v>
      </c>
      <c r="CM8">
        <v>6786</v>
      </c>
      <c r="CN8">
        <v>3504</v>
      </c>
      <c r="CO8">
        <v>817</v>
      </c>
    </row>
    <row r="9" spans="1:93">
      <c r="A9" t="s">
        <v>74</v>
      </c>
      <c r="B9">
        <v>115</v>
      </c>
      <c r="C9" s="18">
        <f t="shared" si="86"/>
        <v>209.1</v>
      </c>
      <c r="D9" s="24">
        <f t="shared" si="65"/>
        <v>-94.1</v>
      </c>
      <c r="E9">
        <v>73.5</v>
      </c>
      <c r="F9" s="34">
        <v>94.1</v>
      </c>
      <c r="G9">
        <v>41.5</v>
      </c>
      <c r="H9">
        <v>332.8</v>
      </c>
      <c r="I9">
        <v>70</v>
      </c>
      <c r="J9" s="18">
        <f t="shared" si="66"/>
        <v>70</v>
      </c>
      <c r="K9" s="19">
        <f t="shared" si="67"/>
        <v>0</v>
      </c>
      <c r="L9">
        <v>36.299999999999997</v>
      </c>
      <c r="M9">
        <v>26.9</v>
      </c>
      <c r="N9">
        <v>6.8</v>
      </c>
      <c r="O9">
        <v>70</v>
      </c>
      <c r="P9" s="18">
        <f t="shared" si="68"/>
        <v>70.099999999999994</v>
      </c>
      <c r="Q9" s="19">
        <f t="shared" si="69"/>
        <v>-9.9999999999994316E-2</v>
      </c>
      <c r="R9">
        <v>36.5</v>
      </c>
      <c r="S9">
        <v>11.3</v>
      </c>
      <c r="T9">
        <v>15.7</v>
      </c>
      <c r="U9">
        <v>6.6</v>
      </c>
      <c r="V9">
        <v>202.5</v>
      </c>
      <c r="W9">
        <v>3893.5</v>
      </c>
      <c r="X9">
        <v>622.9</v>
      </c>
      <c r="Y9">
        <v>6099</v>
      </c>
      <c r="Z9">
        <v>3046.6</v>
      </c>
      <c r="AA9">
        <v>49.1</v>
      </c>
      <c r="AB9">
        <v>1029.5999999999999</v>
      </c>
      <c r="AC9">
        <v>297.3</v>
      </c>
      <c r="AD9">
        <v>177.9</v>
      </c>
      <c r="AE9">
        <v>987543</v>
      </c>
      <c r="AF9" s="18">
        <f t="shared" si="70"/>
        <v>987543</v>
      </c>
      <c r="AG9" s="19">
        <f t="shared" si="71"/>
        <v>0</v>
      </c>
      <c r="AH9">
        <v>63867</v>
      </c>
      <c r="AI9">
        <v>404368</v>
      </c>
      <c r="AJ9">
        <v>433207</v>
      </c>
      <c r="AK9">
        <v>47453</v>
      </c>
      <c r="AL9">
        <v>38648</v>
      </c>
      <c r="AM9">
        <v>1530.9</v>
      </c>
      <c r="AN9">
        <v>103.8</v>
      </c>
      <c r="AO9" s="18">
        <f t="shared" si="72"/>
        <v>103.8</v>
      </c>
      <c r="AP9" s="18">
        <f t="shared" si="73"/>
        <v>0</v>
      </c>
      <c r="AQ9">
        <v>17</v>
      </c>
      <c r="AR9">
        <v>7.5</v>
      </c>
      <c r="AS9">
        <v>6.8</v>
      </c>
      <c r="AT9">
        <v>72.5</v>
      </c>
      <c r="AU9">
        <v>21703</v>
      </c>
      <c r="AV9" s="18">
        <f t="shared" si="74"/>
        <v>21703</v>
      </c>
      <c r="AW9" s="24">
        <f t="shared" si="75"/>
        <v>0</v>
      </c>
      <c r="AX9">
        <v>15409</v>
      </c>
      <c r="AY9">
        <v>818</v>
      </c>
      <c r="AZ9">
        <v>566</v>
      </c>
      <c r="BA9">
        <v>1936</v>
      </c>
      <c r="BB9">
        <v>2974</v>
      </c>
      <c r="BC9">
        <v>73552</v>
      </c>
      <c r="BD9" s="18">
        <f t="shared" si="76"/>
        <v>73551</v>
      </c>
      <c r="BE9" s="19">
        <f t="shared" si="77"/>
        <v>1</v>
      </c>
      <c r="BF9">
        <v>3632</v>
      </c>
      <c r="BG9">
        <v>9378</v>
      </c>
      <c r="BH9">
        <v>6101</v>
      </c>
      <c r="BI9">
        <v>189</v>
      </c>
      <c r="BJ9">
        <v>54251</v>
      </c>
      <c r="BK9">
        <v>38415</v>
      </c>
      <c r="BL9" s="18">
        <f t="shared" si="78"/>
        <v>38080</v>
      </c>
      <c r="BM9" s="19">
        <f t="shared" si="79"/>
        <v>335</v>
      </c>
      <c r="BN9">
        <v>1373</v>
      </c>
      <c r="BO9" s="18">
        <f t="shared" si="80"/>
        <v>1328</v>
      </c>
      <c r="BP9" s="19">
        <f t="shared" si="81"/>
        <v>45</v>
      </c>
      <c r="BQ9">
        <v>618</v>
      </c>
      <c r="BR9">
        <v>222</v>
      </c>
      <c r="BS9" s="30">
        <v>488</v>
      </c>
      <c r="BT9">
        <v>36645</v>
      </c>
      <c r="BU9" s="18">
        <f t="shared" si="82"/>
        <v>36459</v>
      </c>
      <c r="BV9" s="19">
        <f t="shared" si="83"/>
        <v>186</v>
      </c>
      <c r="BW9">
        <v>1114</v>
      </c>
      <c r="BX9" s="13">
        <v>1264</v>
      </c>
      <c r="BY9">
        <v>21703</v>
      </c>
      <c r="BZ9">
        <v>12378</v>
      </c>
      <c r="CA9">
        <v>339</v>
      </c>
      <c r="CB9" s="18">
        <f t="shared" si="84"/>
        <v>293</v>
      </c>
      <c r="CC9" s="19">
        <f t="shared" si="85"/>
        <v>46</v>
      </c>
      <c r="CD9">
        <v>132</v>
      </c>
      <c r="CE9">
        <v>7</v>
      </c>
      <c r="CF9">
        <v>129</v>
      </c>
      <c r="CG9">
        <v>25</v>
      </c>
      <c r="CH9">
        <v>793400</v>
      </c>
      <c r="CI9">
        <v>23752</v>
      </c>
      <c r="CJ9">
        <v>66154</v>
      </c>
      <c r="CK9">
        <v>9288</v>
      </c>
      <c r="CL9">
        <v>24</v>
      </c>
      <c r="CM9">
        <v>2713</v>
      </c>
      <c r="CN9">
        <v>2215</v>
      </c>
      <c r="CO9">
        <v>837</v>
      </c>
    </row>
    <row r="10" spans="1:93">
      <c r="A10" t="s">
        <v>75</v>
      </c>
      <c r="B10">
        <v>581.1</v>
      </c>
      <c r="C10" s="18">
        <f t="shared" si="86"/>
        <v>840.9</v>
      </c>
      <c r="D10" s="24">
        <f t="shared" si="65"/>
        <v>-259.79999999999995</v>
      </c>
      <c r="E10">
        <v>399.7</v>
      </c>
      <c r="F10" s="34">
        <v>259.8</v>
      </c>
      <c r="G10">
        <v>181.4</v>
      </c>
      <c r="H10">
        <v>2429.3000000000002</v>
      </c>
      <c r="I10">
        <v>189.9</v>
      </c>
      <c r="J10" s="18">
        <f t="shared" si="66"/>
        <v>189.9</v>
      </c>
      <c r="K10" s="19">
        <f t="shared" si="67"/>
        <v>0</v>
      </c>
      <c r="L10">
        <v>85.1</v>
      </c>
      <c r="M10">
        <v>95.9</v>
      </c>
      <c r="N10">
        <v>8.9</v>
      </c>
      <c r="O10">
        <v>189.9</v>
      </c>
      <c r="P10" s="18">
        <f t="shared" si="68"/>
        <v>190</v>
      </c>
      <c r="Q10" s="19">
        <f t="shared" si="69"/>
        <v>-9.9999999999994316E-2</v>
      </c>
      <c r="R10">
        <v>138.5</v>
      </c>
      <c r="S10">
        <v>16.7</v>
      </c>
      <c r="T10">
        <v>11.3</v>
      </c>
      <c r="U10">
        <v>23.5</v>
      </c>
      <c r="V10">
        <v>793.9</v>
      </c>
      <c r="W10">
        <v>11617.4</v>
      </c>
      <c r="X10">
        <v>49.2</v>
      </c>
      <c r="Y10">
        <v>24355.599999999999</v>
      </c>
      <c r="Z10">
        <v>53939.6</v>
      </c>
      <c r="AA10">
        <v>3793</v>
      </c>
      <c r="AB10">
        <v>1556.8</v>
      </c>
      <c r="AC10">
        <v>829.8</v>
      </c>
      <c r="AD10">
        <v>1097.2</v>
      </c>
      <c r="AE10">
        <v>1508472</v>
      </c>
      <c r="AF10" s="18">
        <f t="shared" si="70"/>
        <v>1508472</v>
      </c>
      <c r="AG10" s="19">
        <f t="shared" si="71"/>
        <v>0</v>
      </c>
      <c r="AH10">
        <v>66357</v>
      </c>
      <c r="AI10">
        <v>876415</v>
      </c>
      <c r="AJ10">
        <v>494014</v>
      </c>
      <c r="AK10">
        <v>32182</v>
      </c>
      <c r="AL10">
        <v>39504</v>
      </c>
      <c r="AM10">
        <v>4887.8</v>
      </c>
      <c r="AN10">
        <v>221.8</v>
      </c>
      <c r="AO10" s="18">
        <f t="shared" si="72"/>
        <v>221.8</v>
      </c>
      <c r="AP10" s="18">
        <f t="shared" si="73"/>
        <v>0</v>
      </c>
      <c r="AQ10">
        <v>68.099999999999994</v>
      </c>
      <c r="AR10">
        <v>15</v>
      </c>
      <c r="AS10">
        <v>15.4</v>
      </c>
      <c r="AT10">
        <v>123.3</v>
      </c>
      <c r="AU10">
        <v>12772</v>
      </c>
      <c r="AV10" s="18">
        <f t="shared" si="74"/>
        <v>12772</v>
      </c>
      <c r="AW10" s="24">
        <f t="shared" si="75"/>
        <v>0</v>
      </c>
      <c r="AX10">
        <v>4591</v>
      </c>
      <c r="AY10">
        <v>3035</v>
      </c>
      <c r="AZ10">
        <v>241</v>
      </c>
      <c r="BA10">
        <v>3586</v>
      </c>
      <c r="BB10">
        <v>1319</v>
      </c>
      <c r="BC10">
        <v>193969</v>
      </c>
      <c r="BD10" s="18">
        <f t="shared" si="76"/>
        <v>193969</v>
      </c>
      <c r="BE10" s="19">
        <f t="shared" si="77"/>
        <v>0</v>
      </c>
      <c r="BF10">
        <v>10610</v>
      </c>
      <c r="BG10">
        <v>127770</v>
      </c>
      <c r="BH10">
        <v>49038</v>
      </c>
      <c r="BI10">
        <v>21</v>
      </c>
      <c r="BJ10">
        <v>6530</v>
      </c>
      <c r="BK10">
        <v>26768</v>
      </c>
      <c r="BL10" s="18">
        <f t="shared" si="78"/>
        <v>26510</v>
      </c>
      <c r="BM10" s="19">
        <f t="shared" si="79"/>
        <v>258</v>
      </c>
      <c r="BN10">
        <v>861</v>
      </c>
      <c r="BO10" s="18">
        <f t="shared" si="80"/>
        <v>757</v>
      </c>
      <c r="BP10" s="19">
        <f t="shared" si="81"/>
        <v>104</v>
      </c>
      <c r="BQ10">
        <v>400</v>
      </c>
      <c r="BR10">
        <v>174</v>
      </c>
      <c r="BS10" s="30">
        <v>183</v>
      </c>
      <c r="BT10">
        <v>25480</v>
      </c>
      <c r="BU10" s="18">
        <f t="shared" si="82"/>
        <v>25480</v>
      </c>
      <c r="BV10" s="19">
        <f t="shared" si="83"/>
        <v>0</v>
      </c>
      <c r="BW10">
        <v>1321</v>
      </c>
      <c r="BX10" s="13">
        <v>1217</v>
      </c>
      <c r="BY10">
        <v>12772</v>
      </c>
      <c r="BZ10">
        <v>10170</v>
      </c>
      <c r="CA10">
        <v>351</v>
      </c>
      <c r="CB10" s="18">
        <f t="shared" si="84"/>
        <v>273</v>
      </c>
      <c r="CC10" s="19">
        <f t="shared" si="85"/>
        <v>78</v>
      </c>
      <c r="CD10">
        <v>118</v>
      </c>
      <c r="CE10">
        <v>7</v>
      </c>
      <c r="CF10">
        <v>116</v>
      </c>
      <c r="CG10">
        <v>32</v>
      </c>
      <c r="CH10">
        <v>906870</v>
      </c>
      <c r="CI10">
        <v>21551</v>
      </c>
      <c r="CJ10">
        <v>74325</v>
      </c>
      <c r="CK10">
        <v>5604</v>
      </c>
      <c r="CL10">
        <v>6</v>
      </c>
      <c r="CM10">
        <v>186</v>
      </c>
      <c r="CN10">
        <v>95</v>
      </c>
      <c r="CO10">
        <v>101</v>
      </c>
    </row>
    <row r="11" spans="1:93">
      <c r="A11" t="s">
        <v>76</v>
      </c>
      <c r="B11">
        <v>534.6</v>
      </c>
      <c r="C11" s="18">
        <f t="shared" si="86"/>
        <v>685.7</v>
      </c>
      <c r="D11" s="24">
        <f t="shared" si="65"/>
        <v>-151.10000000000002</v>
      </c>
      <c r="E11">
        <v>482.6</v>
      </c>
      <c r="F11" s="34">
        <v>151.1</v>
      </c>
      <c r="G11">
        <v>52</v>
      </c>
      <c r="H11">
        <v>1282.5</v>
      </c>
      <c r="I11">
        <v>123.3</v>
      </c>
      <c r="J11" s="18">
        <f t="shared" si="66"/>
        <v>123.2</v>
      </c>
      <c r="K11" s="19">
        <f t="shared" si="67"/>
        <v>9.9999999999994316E-2</v>
      </c>
      <c r="L11">
        <v>73.7</v>
      </c>
      <c r="M11">
        <v>41.7</v>
      </c>
      <c r="N11">
        <v>7.8</v>
      </c>
      <c r="O11">
        <v>123.3</v>
      </c>
      <c r="P11" s="18">
        <f t="shared" si="68"/>
        <v>123.39999999999999</v>
      </c>
      <c r="Q11" s="19">
        <f t="shared" si="69"/>
        <v>-9.9999999999994316E-2</v>
      </c>
      <c r="R11">
        <v>71.900000000000006</v>
      </c>
      <c r="S11">
        <v>14.8</v>
      </c>
      <c r="T11">
        <v>26.4</v>
      </c>
      <c r="U11">
        <v>10.3</v>
      </c>
      <c r="V11">
        <v>296.8</v>
      </c>
      <c r="W11">
        <v>5162.2</v>
      </c>
      <c r="X11">
        <v>525.9</v>
      </c>
      <c r="Y11">
        <v>5985.5</v>
      </c>
      <c r="Z11">
        <v>475.1</v>
      </c>
      <c r="AA11">
        <v>294</v>
      </c>
      <c r="AB11">
        <v>1347.3</v>
      </c>
      <c r="AC11">
        <v>317</v>
      </c>
      <c r="AD11">
        <v>701.2</v>
      </c>
      <c r="AE11">
        <v>792526</v>
      </c>
      <c r="AF11" s="18">
        <f t="shared" si="70"/>
        <v>792526</v>
      </c>
      <c r="AG11" s="19">
        <f t="shared" si="71"/>
        <v>0</v>
      </c>
      <c r="AH11">
        <v>278219</v>
      </c>
      <c r="AI11">
        <v>120929</v>
      </c>
      <c r="AJ11">
        <v>359050</v>
      </c>
      <c r="AK11">
        <v>15159</v>
      </c>
      <c r="AL11">
        <v>19169</v>
      </c>
      <c r="AM11">
        <v>1739.8</v>
      </c>
      <c r="AN11">
        <v>129.1</v>
      </c>
      <c r="AO11" s="18">
        <f t="shared" si="72"/>
        <v>129.1</v>
      </c>
      <c r="AP11" s="18">
        <f t="shared" si="73"/>
        <v>0</v>
      </c>
      <c r="AQ11">
        <v>38.9</v>
      </c>
      <c r="AR11">
        <v>7.6</v>
      </c>
      <c r="AS11">
        <v>9.9</v>
      </c>
      <c r="AT11">
        <v>72.7</v>
      </c>
      <c r="AU11">
        <v>16455</v>
      </c>
      <c r="AV11" s="18">
        <f t="shared" si="74"/>
        <v>16455</v>
      </c>
      <c r="AW11" s="24">
        <f t="shared" si="75"/>
        <v>0</v>
      </c>
      <c r="AX11">
        <v>7877</v>
      </c>
      <c r="AY11">
        <v>410</v>
      </c>
      <c r="AZ11">
        <v>154</v>
      </c>
      <c r="BA11">
        <v>6915</v>
      </c>
      <c r="BB11">
        <v>1099</v>
      </c>
      <c r="BC11">
        <v>178226</v>
      </c>
      <c r="BD11" s="18">
        <f t="shared" si="76"/>
        <v>178227</v>
      </c>
      <c r="BE11" s="19">
        <f t="shared" si="77"/>
        <v>-1</v>
      </c>
      <c r="BF11">
        <v>13466</v>
      </c>
      <c r="BG11">
        <v>143280</v>
      </c>
      <c r="BH11">
        <v>2426</v>
      </c>
      <c r="BI11">
        <v>98</v>
      </c>
      <c r="BJ11">
        <v>18957</v>
      </c>
      <c r="BK11">
        <v>37137</v>
      </c>
      <c r="BL11" s="18">
        <f t="shared" si="78"/>
        <v>36831</v>
      </c>
      <c r="BM11" s="19">
        <f t="shared" si="79"/>
        <v>306</v>
      </c>
      <c r="BN11">
        <v>1646</v>
      </c>
      <c r="BO11" s="18">
        <f t="shared" si="80"/>
        <v>1608</v>
      </c>
      <c r="BP11" s="19">
        <f t="shared" si="81"/>
        <v>38</v>
      </c>
      <c r="BQ11">
        <v>837</v>
      </c>
      <c r="BR11">
        <v>252</v>
      </c>
      <c r="BS11" s="30">
        <v>519</v>
      </c>
      <c r="BT11">
        <v>34973</v>
      </c>
      <c r="BU11" s="18">
        <f t="shared" si="82"/>
        <v>34946</v>
      </c>
      <c r="BV11" s="19">
        <f t="shared" si="83"/>
        <v>27</v>
      </c>
      <c r="BW11">
        <v>1508</v>
      </c>
      <c r="BX11" s="13">
        <v>987</v>
      </c>
      <c r="BY11">
        <v>16455</v>
      </c>
      <c r="BZ11">
        <v>15996</v>
      </c>
      <c r="CA11">
        <v>363</v>
      </c>
      <c r="CB11" s="18">
        <f t="shared" si="84"/>
        <v>277</v>
      </c>
      <c r="CC11" s="19">
        <f t="shared" si="85"/>
        <v>86</v>
      </c>
      <c r="CD11">
        <v>126</v>
      </c>
      <c r="CE11">
        <v>35</v>
      </c>
      <c r="CF11">
        <v>103</v>
      </c>
      <c r="CG11">
        <v>13</v>
      </c>
      <c r="CH11">
        <v>1372012</v>
      </c>
      <c r="CI11">
        <v>33058</v>
      </c>
      <c r="CJ11">
        <v>111329</v>
      </c>
      <c r="CK11">
        <v>15537</v>
      </c>
      <c r="CL11">
        <v>116</v>
      </c>
      <c r="CM11">
        <v>7655</v>
      </c>
      <c r="CN11">
        <v>757</v>
      </c>
      <c r="CO11">
        <v>777</v>
      </c>
    </row>
    <row r="12" spans="1:93">
      <c r="A12" t="s">
        <v>77</v>
      </c>
      <c r="B12">
        <v>676.8</v>
      </c>
      <c r="C12" s="18">
        <f t="shared" si="86"/>
        <v>893.4</v>
      </c>
      <c r="D12" s="24">
        <f t="shared" si="65"/>
        <v>-216.60000000000002</v>
      </c>
      <c r="E12">
        <v>589.5</v>
      </c>
      <c r="F12" s="34">
        <v>216.6</v>
      </c>
      <c r="G12">
        <v>87.3</v>
      </c>
      <c r="H12">
        <v>2907.2</v>
      </c>
      <c r="I12">
        <v>107</v>
      </c>
      <c r="J12" s="18">
        <f t="shared" si="66"/>
        <v>106.89999999999999</v>
      </c>
      <c r="K12" s="19">
        <f t="shared" si="67"/>
        <v>0.10000000000000853</v>
      </c>
      <c r="L12">
        <v>70.599999999999994</v>
      </c>
      <c r="M12">
        <v>30.5</v>
      </c>
      <c r="N12">
        <v>5.8</v>
      </c>
      <c r="O12">
        <v>107</v>
      </c>
      <c r="P12" s="18">
        <f t="shared" si="68"/>
        <v>106.9</v>
      </c>
      <c r="Q12" s="19">
        <f t="shared" si="69"/>
        <v>9.9999999999994316E-2</v>
      </c>
      <c r="R12">
        <v>76.599999999999994</v>
      </c>
      <c r="S12">
        <v>7.9</v>
      </c>
      <c r="T12">
        <v>13</v>
      </c>
      <c r="U12">
        <v>9.4</v>
      </c>
      <c r="V12">
        <v>459.6</v>
      </c>
      <c r="W12">
        <v>7452.6</v>
      </c>
      <c r="X12">
        <v>88.8</v>
      </c>
      <c r="Y12">
        <v>8804.7999999999993</v>
      </c>
      <c r="Z12">
        <v>619.70000000000005</v>
      </c>
      <c r="AA12">
        <v>221.4</v>
      </c>
      <c r="AB12">
        <v>864.3</v>
      </c>
      <c r="AC12">
        <v>277.2</v>
      </c>
      <c r="AD12">
        <v>631.6</v>
      </c>
      <c r="AE12">
        <v>456757</v>
      </c>
      <c r="AF12" s="18">
        <f t="shared" si="70"/>
        <v>456757</v>
      </c>
      <c r="AG12" s="19">
        <f t="shared" si="71"/>
        <v>0</v>
      </c>
      <c r="AH12">
        <v>46228</v>
      </c>
      <c r="AI12">
        <v>163116</v>
      </c>
      <c r="AJ12">
        <v>197457</v>
      </c>
      <c r="AK12">
        <v>49555</v>
      </c>
      <c r="AL12">
        <v>401</v>
      </c>
      <c r="AM12">
        <v>2097</v>
      </c>
      <c r="AN12">
        <v>226.3</v>
      </c>
      <c r="AO12" s="18">
        <f t="shared" si="72"/>
        <v>226.2</v>
      </c>
      <c r="AP12" s="18">
        <f t="shared" si="73"/>
        <v>0.10000000000002274</v>
      </c>
      <c r="AQ12">
        <v>36.1</v>
      </c>
      <c r="AR12">
        <v>4.5999999999999996</v>
      </c>
      <c r="AS12">
        <v>11</v>
      </c>
      <c r="AT12">
        <v>174.5</v>
      </c>
      <c r="AU12">
        <v>8701</v>
      </c>
      <c r="AV12" s="18">
        <f t="shared" si="74"/>
        <v>8701</v>
      </c>
      <c r="AW12" s="24">
        <f t="shared" si="75"/>
        <v>0</v>
      </c>
      <c r="AX12">
        <v>3808</v>
      </c>
      <c r="AY12">
        <v>1706</v>
      </c>
      <c r="AZ12">
        <v>1450</v>
      </c>
      <c r="BA12">
        <v>1357</v>
      </c>
      <c r="BB12">
        <v>380</v>
      </c>
      <c r="BC12">
        <v>47042</v>
      </c>
      <c r="BD12" s="18">
        <f t="shared" si="76"/>
        <v>47042</v>
      </c>
      <c r="BE12" s="19">
        <f t="shared" si="77"/>
        <v>0</v>
      </c>
      <c r="BF12">
        <v>8486</v>
      </c>
      <c r="BG12">
        <v>32393</v>
      </c>
      <c r="BH12">
        <v>10</v>
      </c>
      <c r="BI12" t="s">
        <v>71</v>
      </c>
      <c r="BJ12">
        <v>6153</v>
      </c>
      <c r="BK12">
        <v>26540</v>
      </c>
      <c r="BL12" s="18">
        <f t="shared" si="78"/>
        <v>26382</v>
      </c>
      <c r="BM12" s="19">
        <f t="shared" si="79"/>
        <v>158</v>
      </c>
      <c r="BN12">
        <v>873</v>
      </c>
      <c r="BO12" s="18">
        <f t="shared" si="80"/>
        <v>861</v>
      </c>
      <c r="BP12" s="19">
        <f t="shared" si="81"/>
        <v>12</v>
      </c>
      <c r="BQ12">
        <v>409</v>
      </c>
      <c r="BR12">
        <v>171</v>
      </c>
      <c r="BS12" s="30">
        <v>281</v>
      </c>
      <c r="BT12">
        <v>25306</v>
      </c>
      <c r="BU12" s="18">
        <f t="shared" si="82"/>
        <v>25306</v>
      </c>
      <c r="BV12" s="19">
        <f t="shared" si="83"/>
        <v>0</v>
      </c>
      <c r="BW12">
        <v>337</v>
      </c>
      <c r="BX12" s="13">
        <v>754</v>
      </c>
      <c r="BY12">
        <v>8701</v>
      </c>
      <c r="BZ12">
        <v>15514</v>
      </c>
      <c r="CA12">
        <v>250</v>
      </c>
      <c r="CB12" s="18">
        <f t="shared" si="84"/>
        <v>215</v>
      </c>
      <c r="CC12" s="19">
        <f t="shared" si="85"/>
        <v>35</v>
      </c>
      <c r="CD12">
        <v>70</v>
      </c>
      <c r="CE12">
        <v>54</v>
      </c>
      <c r="CF12">
        <v>70</v>
      </c>
      <c r="CG12">
        <v>21</v>
      </c>
      <c r="CH12">
        <v>899449</v>
      </c>
      <c r="CI12">
        <v>15345</v>
      </c>
      <c r="CJ12">
        <v>64328</v>
      </c>
      <c r="CK12">
        <v>7346</v>
      </c>
      <c r="CL12">
        <v>29</v>
      </c>
      <c r="CM12">
        <v>449</v>
      </c>
      <c r="CN12">
        <v>269</v>
      </c>
      <c r="CO12">
        <v>341</v>
      </c>
    </row>
    <row r="13" spans="1:93">
      <c r="A13" t="s">
        <v>78</v>
      </c>
      <c r="B13">
        <v>1011.7</v>
      </c>
      <c r="C13" s="18">
        <f t="shared" si="86"/>
        <v>1354.6</v>
      </c>
      <c r="D13" s="24">
        <f t="shared" si="65"/>
        <v>-342.89999999999986</v>
      </c>
      <c r="E13">
        <v>851.6</v>
      </c>
      <c r="F13" s="34">
        <v>342.9</v>
      </c>
      <c r="G13">
        <v>160.1</v>
      </c>
      <c r="H13">
        <v>3322</v>
      </c>
      <c r="I13">
        <v>288.5</v>
      </c>
      <c r="J13" s="18">
        <f t="shared" si="66"/>
        <v>288.60000000000002</v>
      </c>
      <c r="K13" s="19">
        <f t="shared" si="67"/>
        <v>-0.10000000000002274</v>
      </c>
      <c r="L13">
        <v>187.9</v>
      </c>
      <c r="M13">
        <v>97.6</v>
      </c>
      <c r="N13">
        <v>3.1</v>
      </c>
      <c r="O13">
        <v>288.5</v>
      </c>
      <c r="P13" s="18">
        <f t="shared" si="68"/>
        <v>288.49999999999994</v>
      </c>
      <c r="Q13" s="19">
        <f t="shared" si="69"/>
        <v>0</v>
      </c>
      <c r="R13">
        <v>258.39999999999998</v>
      </c>
      <c r="S13">
        <v>11.9</v>
      </c>
      <c r="T13">
        <v>14.5</v>
      </c>
      <c r="U13">
        <v>3.7</v>
      </c>
      <c r="V13">
        <v>947.3</v>
      </c>
      <c r="W13">
        <v>17167.7</v>
      </c>
      <c r="X13">
        <v>74.2</v>
      </c>
      <c r="Y13">
        <v>21611.3</v>
      </c>
      <c r="Z13">
        <v>1169.5</v>
      </c>
      <c r="AA13">
        <v>3474.7</v>
      </c>
      <c r="AB13">
        <v>1177.2</v>
      </c>
      <c r="AC13">
        <v>558.29999999999995</v>
      </c>
      <c r="AD13">
        <v>1721.5</v>
      </c>
      <c r="AE13">
        <v>857770</v>
      </c>
      <c r="AF13" s="18">
        <f t="shared" si="70"/>
        <v>857770</v>
      </c>
      <c r="AG13" s="19">
        <f t="shared" si="71"/>
        <v>0</v>
      </c>
      <c r="AH13">
        <v>43116</v>
      </c>
      <c r="AI13">
        <v>182895</v>
      </c>
      <c r="AJ13">
        <v>593033</v>
      </c>
      <c r="AK13">
        <v>34338</v>
      </c>
      <c r="AL13">
        <v>4388</v>
      </c>
      <c r="AM13">
        <v>6250.8</v>
      </c>
      <c r="AN13">
        <v>240.3</v>
      </c>
      <c r="AO13" s="18">
        <f t="shared" si="72"/>
        <v>240.29999999999998</v>
      </c>
      <c r="AP13" s="18">
        <f t="shared" si="73"/>
        <v>0</v>
      </c>
      <c r="AQ13">
        <v>75.900000000000006</v>
      </c>
      <c r="AR13">
        <v>46.5</v>
      </c>
      <c r="AS13">
        <v>32.299999999999997</v>
      </c>
      <c r="AT13">
        <v>85.6</v>
      </c>
      <c r="AU13">
        <v>10206</v>
      </c>
      <c r="AV13" s="18">
        <f t="shared" si="74"/>
        <v>10206</v>
      </c>
      <c r="AW13" s="24">
        <f t="shared" si="75"/>
        <v>0</v>
      </c>
      <c r="AX13">
        <v>7445</v>
      </c>
      <c r="AY13">
        <v>1319</v>
      </c>
      <c r="AZ13">
        <v>139</v>
      </c>
      <c r="BA13">
        <v>701</v>
      </c>
      <c r="BB13">
        <v>602</v>
      </c>
      <c r="BC13">
        <v>96649</v>
      </c>
      <c r="BD13" s="18">
        <f t="shared" si="76"/>
        <v>96649</v>
      </c>
      <c r="BE13" s="19">
        <f t="shared" si="77"/>
        <v>0</v>
      </c>
      <c r="BF13">
        <v>2645</v>
      </c>
      <c r="BG13">
        <v>90765</v>
      </c>
      <c r="BH13">
        <v>777</v>
      </c>
      <c r="BI13" t="s">
        <v>71</v>
      </c>
      <c r="BJ13">
        <v>2462</v>
      </c>
      <c r="BK13">
        <v>22535</v>
      </c>
      <c r="BL13" s="18">
        <f t="shared" si="78"/>
        <v>22352</v>
      </c>
      <c r="BM13" s="19">
        <f t="shared" si="79"/>
        <v>183</v>
      </c>
      <c r="BN13">
        <v>1278</v>
      </c>
      <c r="BO13" s="18">
        <f t="shared" si="80"/>
        <v>1262</v>
      </c>
      <c r="BP13" s="19">
        <f t="shared" si="81"/>
        <v>16</v>
      </c>
      <c r="BQ13">
        <v>810</v>
      </c>
      <c r="BR13">
        <v>199</v>
      </c>
      <c r="BS13" s="30">
        <v>253</v>
      </c>
      <c r="BT13">
        <v>20759</v>
      </c>
      <c r="BU13" s="18">
        <f t="shared" si="82"/>
        <v>20758</v>
      </c>
      <c r="BV13" s="19">
        <f t="shared" si="83"/>
        <v>1</v>
      </c>
      <c r="BW13">
        <v>643</v>
      </c>
      <c r="BX13" s="13">
        <v>974</v>
      </c>
      <c r="BY13">
        <v>10206</v>
      </c>
      <c r="BZ13">
        <v>8935</v>
      </c>
      <c r="CA13">
        <v>403</v>
      </c>
      <c r="CB13" s="18">
        <f t="shared" si="84"/>
        <v>332</v>
      </c>
      <c r="CC13" s="19">
        <f t="shared" si="85"/>
        <v>71</v>
      </c>
      <c r="CD13">
        <v>145</v>
      </c>
      <c r="CE13">
        <v>17</v>
      </c>
      <c r="CF13">
        <v>118</v>
      </c>
      <c r="CG13">
        <v>52</v>
      </c>
      <c r="CH13">
        <v>1004969</v>
      </c>
      <c r="CI13">
        <v>22391</v>
      </c>
      <c r="CJ13">
        <v>90377</v>
      </c>
      <c r="CK13">
        <v>9166</v>
      </c>
      <c r="CL13">
        <v>15</v>
      </c>
      <c r="CM13">
        <v>1123</v>
      </c>
      <c r="CN13">
        <v>138</v>
      </c>
      <c r="CO13">
        <v>56</v>
      </c>
    </row>
    <row r="14" spans="1:93">
      <c r="A14" t="s">
        <v>79</v>
      </c>
      <c r="B14">
        <v>53.4</v>
      </c>
      <c r="C14" s="18">
        <f t="shared" si="86"/>
        <v>64</v>
      </c>
      <c r="D14" s="24">
        <f t="shared" si="65"/>
        <v>-10.600000000000001</v>
      </c>
      <c r="E14">
        <v>45.6</v>
      </c>
      <c r="F14" s="34">
        <v>10.7</v>
      </c>
      <c r="G14">
        <v>7.7</v>
      </c>
      <c r="H14">
        <v>215</v>
      </c>
      <c r="I14">
        <v>107.3</v>
      </c>
      <c r="J14" s="18">
        <f t="shared" si="66"/>
        <v>107.30000000000001</v>
      </c>
      <c r="K14" s="19">
        <f t="shared" si="67"/>
        <v>0</v>
      </c>
      <c r="L14">
        <v>105.9</v>
      </c>
      <c r="M14">
        <v>0</v>
      </c>
      <c r="N14">
        <v>1.4</v>
      </c>
      <c r="O14">
        <v>107.3</v>
      </c>
      <c r="P14" s="18">
        <f t="shared" si="68"/>
        <v>107.19999999999999</v>
      </c>
      <c r="Q14" s="19">
        <f t="shared" si="69"/>
        <v>0.10000000000000853</v>
      </c>
      <c r="R14">
        <v>14.3</v>
      </c>
      <c r="S14">
        <v>68.099999999999994</v>
      </c>
      <c r="T14">
        <v>23.8</v>
      </c>
      <c r="U14">
        <v>1</v>
      </c>
      <c r="V14">
        <v>432.1</v>
      </c>
      <c r="W14">
        <v>160.9</v>
      </c>
      <c r="X14">
        <v>14.1</v>
      </c>
      <c r="Y14">
        <v>88.5</v>
      </c>
      <c r="Z14">
        <v>17.8</v>
      </c>
      <c r="AA14">
        <v>70.7</v>
      </c>
      <c r="AB14">
        <v>285.3</v>
      </c>
      <c r="AC14">
        <v>37</v>
      </c>
      <c r="AD14">
        <v>185.3</v>
      </c>
      <c r="AE14">
        <v>1202295</v>
      </c>
      <c r="AF14" s="18">
        <f t="shared" si="70"/>
        <v>1202295</v>
      </c>
      <c r="AG14" s="19">
        <f t="shared" si="71"/>
        <v>0</v>
      </c>
      <c r="AH14">
        <v>59134</v>
      </c>
      <c r="AI14" s="13"/>
      <c r="AJ14">
        <v>479616</v>
      </c>
      <c r="AK14">
        <v>527772</v>
      </c>
      <c r="AL14">
        <v>135773</v>
      </c>
      <c r="AM14">
        <v>160.9</v>
      </c>
      <c r="AN14">
        <v>6.4</v>
      </c>
      <c r="AO14" s="18">
        <f t="shared" si="72"/>
        <v>6.3</v>
      </c>
      <c r="AP14" s="18">
        <f t="shared" si="73"/>
        <v>0.10000000000000053</v>
      </c>
      <c r="AQ14">
        <v>2.2999999999999998</v>
      </c>
      <c r="AR14">
        <v>0.3</v>
      </c>
      <c r="AS14">
        <v>0.1</v>
      </c>
      <c r="AT14">
        <v>3.6</v>
      </c>
      <c r="AU14">
        <v>1101</v>
      </c>
      <c r="AV14" s="18">
        <f t="shared" si="74"/>
        <v>1101</v>
      </c>
      <c r="AW14" s="24">
        <f t="shared" si="75"/>
        <v>0</v>
      </c>
      <c r="AX14">
        <v>783</v>
      </c>
      <c r="AY14" t="s">
        <v>71</v>
      </c>
      <c r="AZ14" t="s">
        <v>71</v>
      </c>
      <c r="BA14" t="s">
        <v>71</v>
      </c>
      <c r="BB14">
        <v>318</v>
      </c>
      <c r="BC14">
        <v>315780</v>
      </c>
      <c r="BD14" s="18">
        <f t="shared" si="76"/>
        <v>315781</v>
      </c>
      <c r="BE14" s="19">
        <f t="shared" si="77"/>
        <v>-1</v>
      </c>
      <c r="BF14">
        <v>40478</v>
      </c>
      <c r="BG14">
        <v>235818</v>
      </c>
      <c r="BH14">
        <v>166</v>
      </c>
      <c r="BI14">
        <v>33</v>
      </c>
      <c r="BJ14">
        <v>39286</v>
      </c>
      <c r="BK14">
        <v>6421</v>
      </c>
      <c r="BL14" s="18">
        <f t="shared" si="78"/>
        <v>6117</v>
      </c>
      <c r="BM14" s="19">
        <f t="shared" si="79"/>
        <v>304</v>
      </c>
      <c r="BN14">
        <v>492</v>
      </c>
      <c r="BO14" s="18">
        <f t="shared" si="80"/>
        <v>371</v>
      </c>
      <c r="BP14" s="19">
        <f t="shared" si="81"/>
        <v>121</v>
      </c>
      <c r="BQ14">
        <v>184</v>
      </c>
      <c r="BR14">
        <v>28</v>
      </c>
      <c r="BS14" s="30">
        <v>159</v>
      </c>
      <c r="BT14">
        <v>5692</v>
      </c>
      <c r="BU14" s="18">
        <f t="shared" si="82"/>
        <v>5692</v>
      </c>
      <c r="BV14" s="19">
        <f t="shared" si="83"/>
        <v>0</v>
      </c>
      <c r="BW14">
        <v>1208</v>
      </c>
      <c r="BX14" s="13"/>
      <c r="BY14">
        <v>1101</v>
      </c>
      <c r="BZ14">
        <v>3383</v>
      </c>
      <c r="CA14">
        <v>88</v>
      </c>
      <c r="CB14" s="18">
        <f t="shared" si="84"/>
        <v>54</v>
      </c>
      <c r="CC14" s="19">
        <f t="shared" si="85"/>
        <v>34</v>
      </c>
      <c r="CD14">
        <v>19</v>
      </c>
      <c r="CE14">
        <v>14</v>
      </c>
      <c r="CF14">
        <v>16</v>
      </c>
      <c r="CG14">
        <v>5</v>
      </c>
      <c r="CH14">
        <v>130709</v>
      </c>
      <c r="CI14">
        <v>9887</v>
      </c>
      <c r="CJ14">
        <v>29218</v>
      </c>
      <c r="CK14">
        <v>1617</v>
      </c>
      <c r="CL14">
        <v>20</v>
      </c>
      <c r="CM14">
        <v>324</v>
      </c>
      <c r="CN14">
        <v>248</v>
      </c>
      <c r="CO14">
        <v>389</v>
      </c>
    </row>
    <row r="15" spans="1:93">
      <c r="A15" t="s">
        <v>80</v>
      </c>
      <c r="B15">
        <v>496.3</v>
      </c>
      <c r="C15" s="18">
        <f t="shared" si="86"/>
        <v>628.4</v>
      </c>
      <c r="D15" s="24">
        <f t="shared" si="65"/>
        <v>-132.09999999999997</v>
      </c>
      <c r="E15">
        <v>438.7</v>
      </c>
      <c r="F15" s="34">
        <v>132.1</v>
      </c>
      <c r="G15">
        <v>57.6</v>
      </c>
      <c r="H15">
        <v>582.1</v>
      </c>
      <c r="I15">
        <v>578.70000000000005</v>
      </c>
      <c r="J15" s="18">
        <f t="shared" si="66"/>
        <v>578.6</v>
      </c>
      <c r="K15" s="19">
        <f t="shared" si="67"/>
        <v>0.10000000000002274</v>
      </c>
      <c r="L15">
        <v>560.5</v>
      </c>
      <c r="M15">
        <v>2.1</v>
      </c>
      <c r="N15">
        <v>16</v>
      </c>
      <c r="O15">
        <v>578.70000000000005</v>
      </c>
      <c r="P15" s="18">
        <f t="shared" si="68"/>
        <v>578.59999999999991</v>
      </c>
      <c r="Q15" s="19">
        <f t="shared" si="69"/>
        <v>0.10000000000013642</v>
      </c>
      <c r="R15">
        <v>244.8</v>
      </c>
      <c r="S15">
        <v>251.1</v>
      </c>
      <c r="T15">
        <v>67.3</v>
      </c>
      <c r="U15">
        <v>15.4</v>
      </c>
      <c r="V15">
        <v>678.7</v>
      </c>
      <c r="W15">
        <v>4139.6000000000004</v>
      </c>
      <c r="X15">
        <v>216</v>
      </c>
      <c r="Y15">
        <v>792.6</v>
      </c>
      <c r="Z15">
        <v>105.4</v>
      </c>
      <c r="AA15">
        <v>407.6</v>
      </c>
      <c r="AB15">
        <v>2059.9</v>
      </c>
      <c r="AC15">
        <v>392.1</v>
      </c>
      <c r="AD15">
        <v>2464.8000000000002</v>
      </c>
      <c r="AE15">
        <v>3195784</v>
      </c>
      <c r="AF15" s="18">
        <f t="shared" si="70"/>
        <v>3195784</v>
      </c>
      <c r="AG15" s="19">
        <f t="shared" si="71"/>
        <v>0</v>
      </c>
      <c r="AH15">
        <v>267012</v>
      </c>
      <c r="AI15">
        <v>6377</v>
      </c>
      <c r="AJ15">
        <v>2178853</v>
      </c>
      <c r="AK15">
        <v>554552</v>
      </c>
      <c r="AL15">
        <v>188990</v>
      </c>
      <c r="AM15">
        <v>3873.8</v>
      </c>
      <c r="AN15">
        <v>264.2</v>
      </c>
      <c r="AO15" s="18">
        <f t="shared" si="72"/>
        <v>264.3</v>
      </c>
      <c r="AP15" s="18">
        <f t="shared" si="73"/>
        <v>-0.10000000000002274</v>
      </c>
      <c r="AQ15">
        <v>121.6</v>
      </c>
      <c r="AR15">
        <v>22.3</v>
      </c>
      <c r="AS15">
        <v>14</v>
      </c>
      <c r="AT15">
        <v>106.4</v>
      </c>
      <c r="AU15">
        <v>14523</v>
      </c>
      <c r="AV15" s="18">
        <f t="shared" si="74"/>
        <v>14523</v>
      </c>
      <c r="AW15" s="24">
        <f t="shared" si="75"/>
        <v>0</v>
      </c>
      <c r="AX15">
        <v>5472</v>
      </c>
      <c r="AY15">
        <v>6890</v>
      </c>
      <c r="AZ15">
        <v>940</v>
      </c>
      <c r="BA15">
        <v>86</v>
      </c>
      <c r="BB15">
        <v>1135</v>
      </c>
      <c r="BC15">
        <v>276680</v>
      </c>
      <c r="BD15" s="18">
        <f t="shared" si="76"/>
        <v>276680</v>
      </c>
      <c r="BE15" s="19">
        <f t="shared" si="77"/>
        <v>0</v>
      </c>
      <c r="BF15">
        <v>31110</v>
      </c>
      <c r="BG15">
        <v>191956</v>
      </c>
      <c r="BH15">
        <v>10688</v>
      </c>
      <c r="BI15">
        <v>304</v>
      </c>
      <c r="BJ15">
        <v>42622</v>
      </c>
      <c r="BK15">
        <v>41680</v>
      </c>
      <c r="BL15" s="18">
        <f t="shared" si="78"/>
        <v>40530</v>
      </c>
      <c r="BM15" s="19">
        <f t="shared" si="79"/>
        <v>1150</v>
      </c>
      <c r="BN15">
        <v>2246</v>
      </c>
      <c r="BO15" s="18">
        <f t="shared" si="80"/>
        <v>1731</v>
      </c>
      <c r="BP15" s="19">
        <f t="shared" si="81"/>
        <v>515</v>
      </c>
      <c r="BQ15">
        <v>980</v>
      </c>
      <c r="BR15">
        <v>173</v>
      </c>
      <c r="BS15" s="30">
        <v>578</v>
      </c>
      <c r="BT15">
        <v>38446</v>
      </c>
      <c r="BU15" s="18">
        <f t="shared" si="82"/>
        <v>38439</v>
      </c>
      <c r="BV15" s="19">
        <f t="shared" si="83"/>
        <v>7</v>
      </c>
      <c r="BW15">
        <v>2732</v>
      </c>
      <c r="BX15" s="13">
        <v>884</v>
      </c>
      <c r="BY15">
        <v>14523</v>
      </c>
      <c r="BZ15">
        <v>20300</v>
      </c>
      <c r="CA15">
        <v>495</v>
      </c>
      <c r="CB15" s="18">
        <f t="shared" si="84"/>
        <v>360</v>
      </c>
      <c r="CC15" s="19">
        <f t="shared" si="85"/>
        <v>135</v>
      </c>
      <c r="CD15">
        <v>115</v>
      </c>
      <c r="CE15">
        <v>24</v>
      </c>
      <c r="CF15">
        <v>125</v>
      </c>
      <c r="CG15">
        <v>96</v>
      </c>
      <c r="CH15">
        <v>1206340</v>
      </c>
      <c r="CI15">
        <v>50491</v>
      </c>
      <c r="CJ15">
        <v>164691</v>
      </c>
      <c r="CK15">
        <v>18831</v>
      </c>
      <c r="CL15">
        <v>113</v>
      </c>
      <c r="CM15">
        <v>2450</v>
      </c>
      <c r="CN15">
        <v>1062</v>
      </c>
      <c r="CO15">
        <v>1027</v>
      </c>
    </row>
    <row r="16" spans="1:93">
      <c r="A16" t="s">
        <v>81</v>
      </c>
      <c r="B16">
        <v>1209.0999999999999</v>
      </c>
      <c r="C16" s="18">
        <f t="shared" si="86"/>
        <v>1455.0000000000002</v>
      </c>
      <c r="D16" s="24">
        <f t="shared" si="65"/>
        <v>-245.90000000000032</v>
      </c>
      <c r="E16">
        <v>1189.9000000000001</v>
      </c>
      <c r="F16" s="34">
        <v>245.9</v>
      </c>
      <c r="G16">
        <v>19.2</v>
      </c>
      <c r="H16">
        <v>1818.6</v>
      </c>
      <c r="I16">
        <v>173.1</v>
      </c>
      <c r="J16" s="18">
        <f t="shared" si="66"/>
        <v>173.1</v>
      </c>
      <c r="K16" s="19">
        <f t="shared" si="67"/>
        <v>0</v>
      </c>
      <c r="L16">
        <v>166.8</v>
      </c>
      <c r="M16">
        <v>0.1</v>
      </c>
      <c r="N16">
        <v>6.2</v>
      </c>
      <c r="O16">
        <v>173.1</v>
      </c>
      <c r="P16" s="18">
        <f t="shared" si="68"/>
        <v>173.1</v>
      </c>
      <c r="Q16" s="19">
        <f t="shared" si="69"/>
        <v>0</v>
      </c>
      <c r="R16">
        <v>73.7</v>
      </c>
      <c r="S16">
        <v>36.9</v>
      </c>
      <c r="T16">
        <v>55.5</v>
      </c>
      <c r="U16">
        <v>7</v>
      </c>
      <c r="V16">
        <v>260.39999999999998</v>
      </c>
      <c r="W16">
        <v>1320.8</v>
      </c>
      <c r="X16">
        <v>681.8</v>
      </c>
      <c r="Y16">
        <v>6079</v>
      </c>
      <c r="Z16">
        <v>79.8</v>
      </c>
      <c r="AA16">
        <v>156.80000000000001</v>
      </c>
      <c r="AB16">
        <v>1179.4000000000001</v>
      </c>
      <c r="AC16">
        <v>282.2</v>
      </c>
      <c r="AD16">
        <v>685.1</v>
      </c>
      <c r="AE16">
        <v>1940981</v>
      </c>
      <c r="AF16" s="18">
        <f t="shared" si="70"/>
        <v>1940981</v>
      </c>
      <c r="AG16" s="19">
        <f t="shared" si="71"/>
        <v>0</v>
      </c>
      <c r="AH16">
        <v>135706</v>
      </c>
      <c r="AI16">
        <v>1115</v>
      </c>
      <c r="AJ16">
        <v>902997</v>
      </c>
      <c r="AK16">
        <v>776893</v>
      </c>
      <c r="AL16">
        <v>124270</v>
      </c>
      <c r="AM16">
        <v>1243.8</v>
      </c>
      <c r="AN16">
        <v>65.400000000000006</v>
      </c>
      <c r="AO16" s="18">
        <f t="shared" si="72"/>
        <v>65.400000000000006</v>
      </c>
      <c r="AP16" s="18">
        <f t="shared" si="73"/>
        <v>0</v>
      </c>
      <c r="AQ16">
        <v>19.600000000000001</v>
      </c>
      <c r="AR16">
        <v>3</v>
      </c>
      <c r="AS16">
        <v>4.5</v>
      </c>
      <c r="AT16">
        <v>38.299999999999997</v>
      </c>
      <c r="AU16">
        <v>11681</v>
      </c>
      <c r="AV16" s="18">
        <f t="shared" si="74"/>
        <v>11681</v>
      </c>
      <c r="AW16" s="24">
        <f t="shared" si="75"/>
        <v>0</v>
      </c>
      <c r="AX16">
        <v>4816</v>
      </c>
      <c r="AY16">
        <v>4612</v>
      </c>
      <c r="AZ16">
        <v>72</v>
      </c>
      <c r="BA16">
        <v>1453</v>
      </c>
      <c r="BB16">
        <v>728</v>
      </c>
      <c r="BC16">
        <v>247092</v>
      </c>
      <c r="BD16" s="18">
        <f t="shared" si="76"/>
        <v>247093</v>
      </c>
      <c r="BE16" s="19">
        <f t="shared" si="77"/>
        <v>-1</v>
      </c>
      <c r="BF16">
        <v>71381</v>
      </c>
      <c r="BG16">
        <v>120402</v>
      </c>
      <c r="BH16">
        <v>13461</v>
      </c>
      <c r="BI16">
        <v>10</v>
      </c>
      <c r="BJ16">
        <v>41839</v>
      </c>
      <c r="BK16">
        <v>39593</v>
      </c>
      <c r="BL16" s="18">
        <f t="shared" si="78"/>
        <v>39037</v>
      </c>
      <c r="BM16" s="19">
        <f t="shared" si="79"/>
        <v>556</v>
      </c>
      <c r="BN16">
        <v>1620</v>
      </c>
      <c r="BO16" s="18">
        <f t="shared" si="80"/>
        <v>1429</v>
      </c>
      <c r="BP16" s="19">
        <f t="shared" si="81"/>
        <v>191</v>
      </c>
      <c r="BQ16">
        <v>614</v>
      </c>
      <c r="BR16">
        <v>196</v>
      </c>
      <c r="BS16" s="30">
        <v>619</v>
      </c>
      <c r="BT16">
        <v>37395</v>
      </c>
      <c r="BU16" s="18">
        <f t="shared" si="82"/>
        <v>37388</v>
      </c>
      <c r="BV16" s="19">
        <f t="shared" si="83"/>
        <v>7</v>
      </c>
      <c r="BW16">
        <v>3623</v>
      </c>
      <c r="BX16" s="13">
        <v>1003</v>
      </c>
      <c r="BY16">
        <v>11681</v>
      </c>
      <c r="BZ16">
        <v>21081</v>
      </c>
      <c r="CA16">
        <v>322</v>
      </c>
      <c r="CB16" s="18">
        <f t="shared" si="84"/>
        <v>220</v>
      </c>
      <c r="CC16" s="19">
        <f t="shared" si="85"/>
        <v>102</v>
      </c>
      <c r="CD16">
        <v>102</v>
      </c>
      <c r="CE16">
        <v>14</v>
      </c>
      <c r="CF16">
        <v>95</v>
      </c>
      <c r="CG16">
        <v>9</v>
      </c>
      <c r="CH16">
        <v>514440</v>
      </c>
      <c r="CI16">
        <v>39375</v>
      </c>
      <c r="CJ16">
        <v>113863</v>
      </c>
      <c r="CK16">
        <v>12599</v>
      </c>
      <c r="CL16">
        <v>125</v>
      </c>
      <c r="CM16">
        <v>1014</v>
      </c>
      <c r="CN16">
        <v>1336</v>
      </c>
      <c r="CO16">
        <v>2392</v>
      </c>
    </row>
    <row r="17" spans="1:93">
      <c r="A17" t="s">
        <v>82</v>
      </c>
      <c r="B17">
        <v>889.7</v>
      </c>
      <c r="C17" s="18">
        <f t="shared" si="86"/>
        <v>1106.2</v>
      </c>
      <c r="D17" s="24">
        <f t="shared" si="65"/>
        <v>-216.5</v>
      </c>
      <c r="E17">
        <v>810.9</v>
      </c>
      <c r="F17" s="34">
        <v>216.6</v>
      </c>
      <c r="G17">
        <v>78.7</v>
      </c>
      <c r="H17">
        <v>1453.3</v>
      </c>
      <c r="I17">
        <v>274.7</v>
      </c>
      <c r="J17" s="18">
        <f t="shared" si="66"/>
        <v>274.70000000000005</v>
      </c>
      <c r="K17" s="19">
        <f t="shared" si="67"/>
        <v>0</v>
      </c>
      <c r="L17">
        <v>244.6</v>
      </c>
      <c r="M17">
        <v>21.5</v>
      </c>
      <c r="N17">
        <v>8.6</v>
      </c>
      <c r="O17">
        <v>274.7</v>
      </c>
      <c r="P17" s="18">
        <f t="shared" si="68"/>
        <v>274.8</v>
      </c>
      <c r="Q17" s="19">
        <f t="shared" si="69"/>
        <v>-0.10000000000002274</v>
      </c>
      <c r="R17">
        <v>148</v>
      </c>
      <c r="S17">
        <v>80</v>
      </c>
      <c r="T17">
        <v>37.200000000000003</v>
      </c>
      <c r="U17">
        <v>9.6</v>
      </c>
      <c r="V17">
        <v>448.7</v>
      </c>
      <c r="W17">
        <v>5563.5</v>
      </c>
      <c r="X17">
        <v>369.3</v>
      </c>
      <c r="Y17">
        <v>4047.2</v>
      </c>
      <c r="Z17">
        <v>66.099999999999994</v>
      </c>
      <c r="AA17">
        <v>40.299999999999997</v>
      </c>
      <c r="AB17">
        <v>1755.5</v>
      </c>
      <c r="AC17">
        <v>333.7</v>
      </c>
      <c r="AD17">
        <v>1709.1</v>
      </c>
      <c r="AE17">
        <v>2968658</v>
      </c>
      <c r="AF17" s="18">
        <f t="shared" si="70"/>
        <v>2968658</v>
      </c>
      <c r="AG17" s="19">
        <f t="shared" si="71"/>
        <v>0</v>
      </c>
      <c r="AH17">
        <v>226473</v>
      </c>
      <c r="AI17">
        <v>65846</v>
      </c>
      <c r="AJ17">
        <v>1816061</v>
      </c>
      <c r="AK17">
        <v>496932</v>
      </c>
      <c r="AL17">
        <v>363346</v>
      </c>
      <c r="AM17">
        <v>4701.1000000000004</v>
      </c>
      <c r="AN17">
        <v>275.5</v>
      </c>
      <c r="AO17" s="18">
        <f t="shared" si="72"/>
        <v>275.5</v>
      </c>
      <c r="AP17" s="18">
        <f t="shared" si="73"/>
        <v>0</v>
      </c>
      <c r="AQ17">
        <v>62.2</v>
      </c>
      <c r="AR17">
        <v>8</v>
      </c>
      <c r="AS17">
        <v>11</v>
      </c>
      <c r="AT17">
        <v>194.3</v>
      </c>
      <c r="AU17">
        <v>15555</v>
      </c>
      <c r="AV17" s="18">
        <f t="shared" si="74"/>
        <v>15555</v>
      </c>
      <c r="AW17" s="24">
        <f t="shared" si="75"/>
        <v>0</v>
      </c>
      <c r="AX17">
        <v>9269</v>
      </c>
      <c r="AY17">
        <v>25</v>
      </c>
      <c r="AZ17">
        <v>2508</v>
      </c>
      <c r="BA17">
        <v>698</v>
      </c>
      <c r="BB17">
        <v>3055</v>
      </c>
      <c r="BC17">
        <v>211040</v>
      </c>
      <c r="BD17" s="18">
        <f t="shared" si="76"/>
        <v>211039</v>
      </c>
      <c r="BE17" s="19">
        <f t="shared" si="77"/>
        <v>1</v>
      </c>
      <c r="BF17">
        <v>15252</v>
      </c>
      <c r="BG17">
        <v>188767</v>
      </c>
      <c r="BH17">
        <v>4412</v>
      </c>
      <c r="BI17">
        <v>5</v>
      </c>
      <c r="BJ17">
        <v>2603</v>
      </c>
      <c r="BK17">
        <v>32635</v>
      </c>
      <c r="BL17" s="18">
        <f t="shared" si="78"/>
        <v>32222</v>
      </c>
      <c r="BM17" s="19">
        <f t="shared" si="79"/>
        <v>413</v>
      </c>
      <c r="BN17">
        <v>1354</v>
      </c>
      <c r="BO17" s="18">
        <f t="shared" si="80"/>
        <v>1230</v>
      </c>
      <c r="BP17" s="19">
        <f t="shared" si="81"/>
        <v>124</v>
      </c>
      <c r="BQ17">
        <v>699</v>
      </c>
      <c r="BR17">
        <v>156</v>
      </c>
      <c r="BS17" s="30">
        <v>375</v>
      </c>
      <c r="BT17">
        <v>30583</v>
      </c>
      <c r="BU17" s="18">
        <f t="shared" si="82"/>
        <v>30577</v>
      </c>
      <c r="BV17" s="19">
        <f t="shared" si="83"/>
        <v>6</v>
      </c>
      <c r="BW17">
        <v>1825</v>
      </c>
      <c r="BX17" s="13">
        <v>1303</v>
      </c>
      <c r="BY17">
        <v>15555</v>
      </c>
      <c r="BZ17">
        <v>11894</v>
      </c>
      <c r="CA17">
        <v>499</v>
      </c>
      <c r="CB17" s="18">
        <f t="shared" si="84"/>
        <v>415</v>
      </c>
      <c r="CC17" s="19">
        <f t="shared" si="85"/>
        <v>84</v>
      </c>
      <c r="CD17">
        <v>128</v>
      </c>
      <c r="CE17">
        <v>57</v>
      </c>
      <c r="CF17">
        <v>129</v>
      </c>
      <c r="CG17">
        <v>101</v>
      </c>
      <c r="CH17">
        <v>1397464</v>
      </c>
      <c r="CI17">
        <v>59516</v>
      </c>
      <c r="CJ17">
        <v>175309</v>
      </c>
      <c r="CK17">
        <v>22504</v>
      </c>
      <c r="CL17">
        <v>119</v>
      </c>
      <c r="CM17">
        <v>1106</v>
      </c>
      <c r="CN17">
        <v>814</v>
      </c>
      <c r="CO17">
        <v>2189</v>
      </c>
    </row>
    <row r="18" spans="1:93">
      <c r="A18" t="s">
        <v>83</v>
      </c>
      <c r="B18">
        <v>1326.8</v>
      </c>
      <c r="C18" s="18">
        <f t="shared" si="86"/>
        <v>1669.3999999999999</v>
      </c>
      <c r="D18" s="24">
        <f t="shared" si="65"/>
        <v>-342.59999999999991</v>
      </c>
      <c r="E18">
        <v>1324.6</v>
      </c>
      <c r="F18" s="34">
        <v>342.6</v>
      </c>
      <c r="G18">
        <v>2.2000000000000002</v>
      </c>
      <c r="H18">
        <v>3168.1</v>
      </c>
      <c r="I18">
        <v>172.5</v>
      </c>
      <c r="J18" s="18">
        <f t="shared" si="66"/>
        <v>172.6</v>
      </c>
      <c r="K18" s="19">
        <f t="shared" si="67"/>
        <v>-9.9999999999994316E-2</v>
      </c>
      <c r="L18">
        <v>161</v>
      </c>
      <c r="M18">
        <v>2.1</v>
      </c>
      <c r="N18">
        <v>9.5</v>
      </c>
      <c r="O18">
        <v>172.5</v>
      </c>
      <c r="P18" s="18">
        <f t="shared" si="68"/>
        <v>172.6</v>
      </c>
      <c r="Q18" s="19">
        <f t="shared" si="69"/>
        <v>-9.9999999999994316E-2</v>
      </c>
      <c r="R18">
        <v>94.2</v>
      </c>
      <c r="S18">
        <v>29.4</v>
      </c>
      <c r="T18">
        <v>31.5</v>
      </c>
      <c r="U18">
        <v>17.5</v>
      </c>
      <c r="V18">
        <v>411.9</v>
      </c>
      <c r="W18">
        <v>926.3</v>
      </c>
      <c r="X18">
        <v>922</v>
      </c>
      <c r="Y18">
        <v>8769.6</v>
      </c>
      <c r="Z18">
        <v>76.7</v>
      </c>
      <c r="AA18">
        <v>186.3</v>
      </c>
      <c r="AB18">
        <v>730.3</v>
      </c>
      <c r="AC18">
        <v>235.2</v>
      </c>
      <c r="AD18">
        <v>372.3</v>
      </c>
      <c r="AE18">
        <v>1410718</v>
      </c>
      <c r="AF18" s="18">
        <f t="shared" si="70"/>
        <v>1410718</v>
      </c>
      <c r="AG18" s="19">
        <f t="shared" si="71"/>
        <v>0</v>
      </c>
      <c r="AH18">
        <v>63222</v>
      </c>
      <c r="AI18" s="13"/>
      <c r="AJ18">
        <v>895674</v>
      </c>
      <c r="AK18">
        <v>254111</v>
      </c>
      <c r="AL18">
        <v>197711</v>
      </c>
      <c r="AM18">
        <v>873.1</v>
      </c>
      <c r="AN18">
        <v>86.4</v>
      </c>
      <c r="AO18" s="18">
        <f t="shared" si="72"/>
        <v>86.4</v>
      </c>
      <c r="AP18" s="18">
        <f t="shared" si="73"/>
        <v>0</v>
      </c>
      <c r="AQ18">
        <v>30.2</v>
      </c>
      <c r="AR18">
        <v>11.8</v>
      </c>
      <c r="AS18">
        <v>16.8</v>
      </c>
      <c r="AT18">
        <v>27.6</v>
      </c>
      <c r="AU18">
        <v>16302</v>
      </c>
      <c r="AV18" s="18">
        <f t="shared" si="74"/>
        <v>16302</v>
      </c>
      <c r="AW18" s="24">
        <f t="shared" si="75"/>
        <v>0</v>
      </c>
      <c r="AX18">
        <v>10511</v>
      </c>
      <c r="AY18">
        <v>1105</v>
      </c>
      <c r="AZ18">
        <v>203</v>
      </c>
      <c r="BA18">
        <v>2916</v>
      </c>
      <c r="BB18">
        <v>1567</v>
      </c>
      <c r="BC18">
        <v>346087</v>
      </c>
      <c r="BD18" s="18">
        <f t="shared" si="76"/>
        <v>346087</v>
      </c>
      <c r="BE18" s="19">
        <f t="shared" si="77"/>
        <v>0</v>
      </c>
      <c r="BF18">
        <v>34676</v>
      </c>
      <c r="BG18">
        <v>304190</v>
      </c>
      <c r="BH18">
        <v>1765</v>
      </c>
      <c r="BI18">
        <v>2187</v>
      </c>
      <c r="BJ18">
        <v>3269</v>
      </c>
      <c r="BK18">
        <v>30543</v>
      </c>
      <c r="BL18" s="18">
        <f t="shared" si="78"/>
        <v>30389</v>
      </c>
      <c r="BM18" s="19">
        <f t="shared" si="79"/>
        <v>154</v>
      </c>
      <c r="BN18">
        <v>736</v>
      </c>
      <c r="BO18" s="18">
        <f t="shared" si="80"/>
        <v>714</v>
      </c>
      <c r="BP18" s="19">
        <f t="shared" si="81"/>
        <v>22</v>
      </c>
      <c r="BQ18">
        <v>390</v>
      </c>
      <c r="BR18">
        <v>93</v>
      </c>
      <c r="BS18" s="30">
        <v>231</v>
      </c>
      <c r="BT18">
        <v>29416</v>
      </c>
      <c r="BU18" s="18">
        <f t="shared" si="82"/>
        <v>29416</v>
      </c>
      <c r="BV18" s="19">
        <f t="shared" si="83"/>
        <v>0</v>
      </c>
      <c r="BW18">
        <v>755</v>
      </c>
      <c r="BX18" s="13">
        <v>875</v>
      </c>
      <c r="BY18">
        <v>16302</v>
      </c>
      <c r="BZ18">
        <v>11484</v>
      </c>
      <c r="CA18">
        <v>282</v>
      </c>
      <c r="CB18" s="18">
        <f t="shared" si="84"/>
        <v>259</v>
      </c>
      <c r="CC18" s="19">
        <f t="shared" si="85"/>
        <v>23</v>
      </c>
      <c r="CD18">
        <v>101</v>
      </c>
      <c r="CE18">
        <v>18</v>
      </c>
      <c r="CF18">
        <v>94</v>
      </c>
      <c r="CG18">
        <v>46</v>
      </c>
      <c r="CH18">
        <v>602380</v>
      </c>
      <c r="CI18">
        <v>48195</v>
      </c>
      <c r="CJ18">
        <v>125430</v>
      </c>
      <c r="CK18">
        <v>15302</v>
      </c>
      <c r="CL18">
        <v>45</v>
      </c>
      <c r="CM18">
        <v>500</v>
      </c>
      <c r="CN18">
        <v>951</v>
      </c>
      <c r="CO18">
        <v>2129</v>
      </c>
    </row>
    <row r="19" spans="1:93">
      <c r="A19" t="s">
        <v>84</v>
      </c>
      <c r="B19">
        <v>2059.6999999999998</v>
      </c>
      <c r="C19" s="18">
        <f t="shared" si="86"/>
        <v>2506.1999999999998</v>
      </c>
      <c r="D19" s="24">
        <f t="shared" si="65"/>
        <v>-446.5</v>
      </c>
      <c r="E19">
        <v>2039.7</v>
      </c>
      <c r="F19" s="34">
        <v>446.5</v>
      </c>
      <c r="G19">
        <v>20</v>
      </c>
      <c r="H19">
        <v>4568.5</v>
      </c>
      <c r="I19">
        <v>238.2</v>
      </c>
      <c r="J19" s="18">
        <f t="shared" si="66"/>
        <v>238.2</v>
      </c>
      <c r="K19" s="19">
        <f t="shared" si="67"/>
        <v>0</v>
      </c>
      <c r="L19">
        <v>232.4</v>
      </c>
      <c r="M19">
        <v>2.1</v>
      </c>
      <c r="N19">
        <v>3.7</v>
      </c>
      <c r="O19">
        <v>238.2</v>
      </c>
      <c r="P19" s="18">
        <f t="shared" si="68"/>
        <v>238.1</v>
      </c>
      <c r="Q19" s="19">
        <f t="shared" si="69"/>
        <v>9.9999999999994316E-2</v>
      </c>
      <c r="R19">
        <v>165.7</v>
      </c>
      <c r="S19">
        <v>37.799999999999997</v>
      </c>
      <c r="T19">
        <v>30.1</v>
      </c>
      <c r="U19">
        <v>4.5</v>
      </c>
      <c r="V19">
        <v>528.29999999999995</v>
      </c>
      <c r="W19">
        <v>2718.3</v>
      </c>
      <c r="X19">
        <v>586.20000000000005</v>
      </c>
      <c r="Y19">
        <v>10334.299999999999</v>
      </c>
      <c r="Z19">
        <v>102.5</v>
      </c>
      <c r="AA19">
        <v>225.5</v>
      </c>
      <c r="AB19">
        <v>1133.7</v>
      </c>
      <c r="AC19">
        <v>372</v>
      </c>
      <c r="AD19">
        <v>1089.9000000000001</v>
      </c>
      <c r="AE19">
        <v>2040867</v>
      </c>
      <c r="AF19" s="18">
        <f t="shared" si="70"/>
        <v>2040867</v>
      </c>
      <c r="AG19" s="19">
        <f t="shared" si="71"/>
        <v>0</v>
      </c>
      <c r="AH19">
        <v>155292</v>
      </c>
      <c r="AI19" s="13"/>
      <c r="AJ19">
        <v>1450218</v>
      </c>
      <c r="AK19">
        <v>276346</v>
      </c>
      <c r="AL19">
        <v>159011</v>
      </c>
      <c r="AM19">
        <v>2201.6</v>
      </c>
      <c r="AN19">
        <v>106</v>
      </c>
      <c r="AO19" s="18">
        <f t="shared" si="72"/>
        <v>106.1</v>
      </c>
      <c r="AP19" s="18">
        <f t="shared" si="73"/>
        <v>-9.9999999999994316E-2</v>
      </c>
      <c r="AQ19">
        <v>27</v>
      </c>
      <c r="AR19">
        <v>13.2</v>
      </c>
      <c r="AS19">
        <v>14.5</v>
      </c>
      <c r="AT19">
        <v>51.4</v>
      </c>
      <c r="AU19">
        <v>25889</v>
      </c>
      <c r="AV19" s="18">
        <f t="shared" si="74"/>
        <v>25889</v>
      </c>
      <c r="AW19" s="24">
        <f t="shared" si="75"/>
        <v>0</v>
      </c>
      <c r="AX19">
        <v>12351</v>
      </c>
      <c r="AY19">
        <v>1312</v>
      </c>
      <c r="AZ19">
        <v>1312</v>
      </c>
      <c r="BA19">
        <v>9543</v>
      </c>
      <c r="BB19">
        <v>1371</v>
      </c>
      <c r="BC19">
        <v>47663</v>
      </c>
      <c r="BD19" s="18">
        <f t="shared" si="76"/>
        <v>47663</v>
      </c>
      <c r="BE19" s="19">
        <f t="shared" si="77"/>
        <v>0</v>
      </c>
      <c r="BF19">
        <v>2977</v>
      </c>
      <c r="BG19">
        <v>40311</v>
      </c>
      <c r="BH19">
        <v>1244</v>
      </c>
      <c r="BI19">
        <v>315</v>
      </c>
      <c r="BJ19">
        <v>2816</v>
      </c>
      <c r="BK19">
        <v>39392</v>
      </c>
      <c r="BL19" s="18">
        <f t="shared" si="78"/>
        <v>39082</v>
      </c>
      <c r="BM19" s="19">
        <f t="shared" si="79"/>
        <v>310</v>
      </c>
      <c r="BN19">
        <v>1098</v>
      </c>
      <c r="BO19" s="18">
        <f t="shared" si="80"/>
        <v>1057</v>
      </c>
      <c r="BP19" s="19">
        <f t="shared" si="81"/>
        <v>41</v>
      </c>
      <c r="BQ19">
        <v>621</v>
      </c>
      <c r="BR19">
        <v>149</v>
      </c>
      <c r="BS19" s="30">
        <v>287</v>
      </c>
      <c r="BT19">
        <v>37681</v>
      </c>
      <c r="BU19" s="18">
        <f t="shared" si="82"/>
        <v>37664</v>
      </c>
      <c r="BV19" s="19">
        <f t="shared" si="83"/>
        <v>17</v>
      </c>
      <c r="BW19">
        <v>703</v>
      </c>
      <c r="BX19" s="13">
        <v>1587</v>
      </c>
      <c r="BY19">
        <v>25889</v>
      </c>
      <c r="BZ19">
        <v>9485</v>
      </c>
      <c r="CA19">
        <v>439</v>
      </c>
      <c r="CB19" s="18">
        <f t="shared" si="84"/>
        <v>361</v>
      </c>
      <c r="CC19" s="19">
        <f t="shared" si="85"/>
        <v>78</v>
      </c>
      <c r="CD19">
        <v>149</v>
      </c>
      <c r="CE19">
        <v>73</v>
      </c>
      <c r="CF19">
        <v>116</v>
      </c>
      <c r="CG19">
        <v>23</v>
      </c>
      <c r="CH19">
        <v>1044465</v>
      </c>
      <c r="CI19">
        <v>48684</v>
      </c>
      <c r="CJ19">
        <v>133302</v>
      </c>
      <c r="CK19">
        <v>17393</v>
      </c>
      <c r="CL19">
        <v>101</v>
      </c>
      <c r="CM19">
        <v>8503</v>
      </c>
      <c r="CN19">
        <v>850</v>
      </c>
      <c r="CO19">
        <v>4140</v>
      </c>
    </row>
    <row r="20" spans="1:93">
      <c r="A20" t="s">
        <v>85</v>
      </c>
      <c r="B20">
        <v>461.7</v>
      </c>
      <c r="C20" s="18">
        <f t="shared" si="86"/>
        <v>655.69999999999993</v>
      </c>
      <c r="D20" s="24">
        <f t="shared" si="65"/>
        <v>-193.99999999999994</v>
      </c>
      <c r="E20">
        <v>355.8</v>
      </c>
      <c r="F20" s="34">
        <v>194</v>
      </c>
      <c r="G20">
        <v>105.9</v>
      </c>
      <c r="H20">
        <v>457.1</v>
      </c>
      <c r="I20">
        <v>231.6</v>
      </c>
      <c r="J20" s="18">
        <f t="shared" si="66"/>
        <v>231.5</v>
      </c>
      <c r="K20" s="19">
        <f t="shared" si="67"/>
        <v>9.9999999999994316E-2</v>
      </c>
      <c r="L20">
        <v>142.80000000000001</v>
      </c>
      <c r="M20">
        <v>68.2</v>
      </c>
      <c r="N20">
        <v>20.5</v>
      </c>
      <c r="O20">
        <v>231.6</v>
      </c>
      <c r="P20" s="18">
        <f t="shared" si="68"/>
        <v>231.6</v>
      </c>
      <c r="Q20" s="19">
        <f t="shared" si="69"/>
        <v>0</v>
      </c>
      <c r="R20">
        <v>132.9</v>
      </c>
      <c r="S20">
        <v>34.299999999999997</v>
      </c>
      <c r="T20">
        <v>45</v>
      </c>
      <c r="U20">
        <v>19.399999999999999</v>
      </c>
      <c r="V20">
        <v>229.3</v>
      </c>
      <c r="W20">
        <v>6539.3</v>
      </c>
      <c r="X20">
        <v>1199.4000000000001</v>
      </c>
      <c r="Y20">
        <v>2443.6999999999998</v>
      </c>
      <c r="Z20">
        <v>243.7</v>
      </c>
      <c r="AA20">
        <v>245.5</v>
      </c>
      <c r="AB20">
        <v>2863.1</v>
      </c>
      <c r="AC20">
        <v>489.1</v>
      </c>
      <c r="AD20">
        <v>1346.1</v>
      </c>
      <c r="AE20">
        <v>4140387</v>
      </c>
      <c r="AF20" s="18">
        <f t="shared" si="70"/>
        <v>4140387</v>
      </c>
      <c r="AG20" s="19">
        <f t="shared" si="71"/>
        <v>0</v>
      </c>
      <c r="AH20">
        <v>103408</v>
      </c>
      <c r="AI20">
        <v>832734</v>
      </c>
      <c r="AJ20">
        <v>2418338</v>
      </c>
      <c r="AK20">
        <v>665930</v>
      </c>
      <c r="AL20">
        <v>119977</v>
      </c>
      <c r="AM20">
        <v>5271.4</v>
      </c>
      <c r="AN20">
        <v>349.6</v>
      </c>
      <c r="AO20" s="18">
        <f t="shared" si="72"/>
        <v>349.6</v>
      </c>
      <c r="AP20" s="18">
        <f t="shared" si="73"/>
        <v>0</v>
      </c>
      <c r="AQ20">
        <v>92.1</v>
      </c>
      <c r="AR20">
        <v>28.9</v>
      </c>
      <c r="AS20">
        <v>26.4</v>
      </c>
      <c r="AT20">
        <v>202.2</v>
      </c>
      <c r="AU20">
        <v>50598</v>
      </c>
      <c r="AV20" s="18">
        <f t="shared" si="74"/>
        <v>50598</v>
      </c>
      <c r="AW20" s="24">
        <f t="shared" si="75"/>
        <v>0</v>
      </c>
      <c r="AX20">
        <v>29392</v>
      </c>
      <c r="AY20">
        <v>10677</v>
      </c>
      <c r="AZ20">
        <v>3743</v>
      </c>
      <c r="BA20">
        <v>3383</v>
      </c>
      <c r="BB20">
        <v>3403</v>
      </c>
      <c r="BC20">
        <v>326398</v>
      </c>
      <c r="BD20" s="18">
        <f t="shared" si="76"/>
        <v>326398</v>
      </c>
      <c r="BE20" s="19">
        <f t="shared" si="77"/>
        <v>0</v>
      </c>
      <c r="BF20">
        <v>75745</v>
      </c>
      <c r="BG20">
        <v>238477</v>
      </c>
      <c r="BH20">
        <v>1535</v>
      </c>
      <c r="BI20">
        <v>34</v>
      </c>
      <c r="BJ20">
        <v>10607</v>
      </c>
      <c r="BK20">
        <v>90070</v>
      </c>
      <c r="BL20" s="18">
        <f t="shared" si="78"/>
        <v>89458</v>
      </c>
      <c r="BM20" s="19">
        <f t="shared" si="79"/>
        <v>612</v>
      </c>
      <c r="BN20">
        <v>2930</v>
      </c>
      <c r="BO20" s="18">
        <f t="shared" si="80"/>
        <v>2780</v>
      </c>
      <c r="BP20" s="19">
        <f t="shared" si="81"/>
        <v>150</v>
      </c>
      <c r="BQ20">
        <v>1491</v>
      </c>
      <c r="BR20">
        <v>436</v>
      </c>
      <c r="BS20" s="30">
        <v>853</v>
      </c>
      <c r="BT20">
        <v>86289</v>
      </c>
      <c r="BU20" s="18">
        <f t="shared" si="82"/>
        <v>86230</v>
      </c>
      <c r="BV20" s="19">
        <f t="shared" si="83"/>
        <v>59</v>
      </c>
      <c r="BW20">
        <v>2529</v>
      </c>
      <c r="BX20" s="13">
        <v>1445</v>
      </c>
      <c r="BY20">
        <v>50598</v>
      </c>
      <c r="BZ20">
        <v>31658</v>
      </c>
      <c r="CA20">
        <v>497</v>
      </c>
      <c r="CB20" s="18">
        <f t="shared" si="84"/>
        <v>448</v>
      </c>
      <c r="CC20" s="19">
        <f t="shared" si="85"/>
        <v>49</v>
      </c>
      <c r="CD20">
        <v>185</v>
      </c>
      <c r="CE20">
        <v>69</v>
      </c>
      <c r="CF20">
        <v>159</v>
      </c>
      <c r="CG20">
        <v>35</v>
      </c>
      <c r="CH20">
        <v>1542184</v>
      </c>
      <c r="CI20">
        <v>55320</v>
      </c>
      <c r="CJ20">
        <v>155534</v>
      </c>
      <c r="CK20">
        <v>16048</v>
      </c>
      <c r="CL20">
        <v>108</v>
      </c>
      <c r="CM20">
        <v>2390</v>
      </c>
      <c r="CN20">
        <v>881</v>
      </c>
      <c r="CO20">
        <v>3124</v>
      </c>
    </row>
    <row r="21" spans="1:93">
      <c r="A21" t="s">
        <v>86</v>
      </c>
      <c r="B21">
        <v>417.7</v>
      </c>
      <c r="C21" s="18">
        <f t="shared" si="86"/>
        <v>609.4</v>
      </c>
      <c r="D21" s="24">
        <f t="shared" si="65"/>
        <v>-191.7</v>
      </c>
      <c r="E21">
        <v>323.5</v>
      </c>
      <c r="F21" s="34">
        <v>191.8</v>
      </c>
      <c r="G21">
        <v>94.1</v>
      </c>
      <c r="H21">
        <v>426.2</v>
      </c>
      <c r="I21">
        <v>214.2</v>
      </c>
      <c r="J21" s="18">
        <f t="shared" si="66"/>
        <v>214.20000000000002</v>
      </c>
      <c r="K21" s="19">
        <f t="shared" si="67"/>
        <v>0</v>
      </c>
      <c r="L21">
        <v>114.2</v>
      </c>
      <c r="M21">
        <v>85.7</v>
      </c>
      <c r="N21">
        <v>14.3</v>
      </c>
      <c r="O21">
        <v>214.2</v>
      </c>
      <c r="P21" s="18">
        <f t="shared" si="68"/>
        <v>214</v>
      </c>
      <c r="Q21" s="19">
        <f t="shared" si="69"/>
        <v>0.19999999999998863</v>
      </c>
      <c r="R21">
        <v>125.1</v>
      </c>
      <c r="S21">
        <v>20.6</v>
      </c>
      <c r="T21">
        <v>42.9</v>
      </c>
      <c r="U21">
        <v>25.4</v>
      </c>
      <c r="V21">
        <v>218.6</v>
      </c>
      <c r="W21">
        <v>7579.6</v>
      </c>
      <c r="X21">
        <v>385.5</v>
      </c>
      <c r="Y21">
        <v>4299.8999999999996</v>
      </c>
      <c r="Z21">
        <v>250.5</v>
      </c>
      <c r="AA21">
        <v>33.5</v>
      </c>
      <c r="AB21">
        <v>2470.6999999999998</v>
      </c>
      <c r="AC21">
        <v>415</v>
      </c>
      <c r="AD21">
        <v>868.5</v>
      </c>
      <c r="AE21">
        <v>2136370</v>
      </c>
      <c r="AF21" s="18">
        <f t="shared" si="70"/>
        <v>2136370</v>
      </c>
      <c r="AG21" s="19">
        <f t="shared" si="71"/>
        <v>0</v>
      </c>
      <c r="AH21">
        <v>66802</v>
      </c>
      <c r="AI21">
        <v>340526</v>
      </c>
      <c r="AJ21">
        <v>856264</v>
      </c>
      <c r="AK21">
        <v>740508</v>
      </c>
      <c r="AL21">
        <v>132270</v>
      </c>
      <c r="AM21">
        <v>5767.4</v>
      </c>
      <c r="AN21">
        <v>571.1</v>
      </c>
      <c r="AO21" s="18">
        <f t="shared" si="72"/>
        <v>571.09999999999991</v>
      </c>
      <c r="AP21" s="18">
        <f t="shared" si="73"/>
        <v>0</v>
      </c>
      <c r="AQ21">
        <v>147.5</v>
      </c>
      <c r="AR21">
        <v>65.5</v>
      </c>
      <c r="AS21">
        <v>45.2</v>
      </c>
      <c r="AT21">
        <v>312.89999999999998</v>
      </c>
      <c r="AU21">
        <v>59058</v>
      </c>
      <c r="AV21" s="18">
        <f t="shared" si="74"/>
        <v>59058</v>
      </c>
      <c r="AW21" s="24">
        <f t="shared" si="75"/>
        <v>0</v>
      </c>
      <c r="AX21">
        <v>35380</v>
      </c>
      <c r="AY21">
        <v>4383</v>
      </c>
      <c r="AZ21">
        <v>2316</v>
      </c>
      <c r="BA21">
        <v>12166</v>
      </c>
      <c r="BB21">
        <v>4813</v>
      </c>
      <c r="BC21">
        <v>223400</v>
      </c>
      <c r="BD21" s="18">
        <f t="shared" si="76"/>
        <v>223401</v>
      </c>
      <c r="BE21" s="19">
        <f t="shared" si="77"/>
        <v>-1</v>
      </c>
      <c r="BF21">
        <v>19170</v>
      </c>
      <c r="BG21">
        <v>161095</v>
      </c>
      <c r="BH21">
        <v>862</v>
      </c>
      <c r="BI21">
        <v>3</v>
      </c>
      <c r="BJ21">
        <v>42271</v>
      </c>
      <c r="BK21">
        <v>86702</v>
      </c>
      <c r="BL21" s="18">
        <f t="shared" si="78"/>
        <v>86313</v>
      </c>
      <c r="BM21" s="19">
        <f t="shared" si="79"/>
        <v>389</v>
      </c>
      <c r="BN21">
        <v>2472</v>
      </c>
      <c r="BO21" s="18">
        <f t="shared" si="80"/>
        <v>2377</v>
      </c>
      <c r="BP21" s="19">
        <f t="shared" si="81"/>
        <v>95</v>
      </c>
      <c r="BQ21">
        <v>1282</v>
      </c>
      <c r="BR21">
        <v>477</v>
      </c>
      <c r="BS21" s="30">
        <v>618</v>
      </c>
      <c r="BT21">
        <v>83517</v>
      </c>
      <c r="BU21" s="18">
        <f t="shared" si="82"/>
        <v>83508</v>
      </c>
      <c r="BV21" s="19">
        <f t="shared" si="83"/>
        <v>9</v>
      </c>
      <c r="BW21">
        <v>2018</v>
      </c>
      <c r="BX21" s="13">
        <v>1983</v>
      </c>
      <c r="BY21">
        <v>59058</v>
      </c>
      <c r="BZ21">
        <v>20449</v>
      </c>
      <c r="CA21">
        <v>568</v>
      </c>
      <c r="CB21" s="18">
        <f t="shared" si="84"/>
        <v>428</v>
      </c>
      <c r="CC21" s="19">
        <f t="shared" si="85"/>
        <v>140</v>
      </c>
      <c r="CD21">
        <v>185</v>
      </c>
      <c r="CE21">
        <v>18</v>
      </c>
      <c r="CF21">
        <v>165</v>
      </c>
      <c r="CG21">
        <v>60</v>
      </c>
      <c r="CH21">
        <v>1699957</v>
      </c>
      <c r="CI21">
        <v>46992</v>
      </c>
      <c r="CJ21">
        <v>168786</v>
      </c>
      <c r="CK21">
        <v>21009</v>
      </c>
      <c r="CL21">
        <v>47</v>
      </c>
      <c r="CM21">
        <v>78</v>
      </c>
      <c r="CN21">
        <v>344</v>
      </c>
      <c r="CO21">
        <v>1200</v>
      </c>
    </row>
    <row r="22" spans="1:93">
      <c r="A22" t="s">
        <v>87</v>
      </c>
      <c r="B22">
        <v>918.2</v>
      </c>
      <c r="C22" s="18">
        <f t="shared" si="86"/>
        <v>1201.9000000000001</v>
      </c>
      <c r="D22" s="24">
        <f t="shared" si="65"/>
        <v>-283.70000000000005</v>
      </c>
      <c r="E22">
        <v>895.8</v>
      </c>
      <c r="F22" s="34">
        <v>283.7</v>
      </c>
      <c r="G22">
        <v>22.4</v>
      </c>
      <c r="H22">
        <v>1573.3</v>
      </c>
      <c r="I22">
        <v>340.2</v>
      </c>
      <c r="J22" s="18">
        <f t="shared" si="66"/>
        <v>340.2</v>
      </c>
      <c r="K22" s="19">
        <f t="shared" si="67"/>
        <v>0</v>
      </c>
      <c r="L22">
        <v>329</v>
      </c>
      <c r="M22">
        <v>4.2</v>
      </c>
      <c r="N22">
        <v>7</v>
      </c>
      <c r="O22">
        <v>340.2</v>
      </c>
      <c r="P22" s="18">
        <f t="shared" si="68"/>
        <v>340.1</v>
      </c>
      <c r="Q22" s="19">
        <f t="shared" si="69"/>
        <v>9.9999999999965894E-2</v>
      </c>
      <c r="R22">
        <v>190.9</v>
      </c>
      <c r="S22">
        <v>70.099999999999994</v>
      </c>
      <c r="T22">
        <v>52.5</v>
      </c>
      <c r="U22">
        <v>26.6</v>
      </c>
      <c r="V22">
        <v>582.9</v>
      </c>
      <c r="W22">
        <v>4752</v>
      </c>
      <c r="X22">
        <v>474.4</v>
      </c>
      <c r="Y22">
        <v>9292.5</v>
      </c>
      <c r="Z22">
        <v>98.2</v>
      </c>
      <c r="AA22">
        <v>47</v>
      </c>
      <c r="AB22">
        <v>1428.3</v>
      </c>
      <c r="AC22">
        <v>364.4</v>
      </c>
      <c r="AD22">
        <v>1949.1</v>
      </c>
      <c r="AE22">
        <v>3421650</v>
      </c>
      <c r="AF22" s="18">
        <f t="shared" si="70"/>
        <v>3421650</v>
      </c>
      <c r="AG22" s="19">
        <f t="shared" si="71"/>
        <v>0</v>
      </c>
      <c r="AH22">
        <v>454325</v>
      </c>
      <c r="AI22">
        <v>22410</v>
      </c>
      <c r="AJ22">
        <v>2249615</v>
      </c>
      <c r="AK22">
        <v>547146</v>
      </c>
      <c r="AL22">
        <v>148154</v>
      </c>
      <c r="AM22">
        <v>3226.9</v>
      </c>
      <c r="AN22">
        <v>249.9</v>
      </c>
      <c r="AO22" s="18">
        <f t="shared" si="72"/>
        <v>250</v>
      </c>
      <c r="AP22" s="18">
        <f t="shared" si="73"/>
        <v>-9.9999999999994316E-2</v>
      </c>
      <c r="AQ22">
        <v>79.8</v>
      </c>
      <c r="AR22">
        <v>29.4</v>
      </c>
      <c r="AS22">
        <v>20.399999999999999</v>
      </c>
      <c r="AT22">
        <v>120.4</v>
      </c>
      <c r="AU22">
        <v>21759</v>
      </c>
      <c r="AV22" s="18">
        <f t="shared" si="74"/>
        <v>21759</v>
      </c>
      <c r="AW22" s="24">
        <f t="shared" si="75"/>
        <v>0</v>
      </c>
      <c r="AX22">
        <v>16923</v>
      </c>
      <c r="AY22">
        <v>733</v>
      </c>
      <c r="AZ22">
        <v>2644</v>
      </c>
      <c r="BA22">
        <v>387</v>
      </c>
      <c r="BB22">
        <v>1072</v>
      </c>
      <c r="BC22">
        <v>105260</v>
      </c>
      <c r="BD22" s="18">
        <f t="shared" si="76"/>
        <v>105260</v>
      </c>
      <c r="BE22" s="19">
        <f t="shared" si="77"/>
        <v>0</v>
      </c>
      <c r="BF22">
        <v>25572</v>
      </c>
      <c r="BG22">
        <v>68982</v>
      </c>
      <c r="BH22">
        <v>447</v>
      </c>
      <c r="BI22">
        <v>114</v>
      </c>
      <c r="BJ22">
        <v>10145</v>
      </c>
      <c r="BK22">
        <v>38897</v>
      </c>
      <c r="BL22" s="18">
        <f t="shared" si="78"/>
        <v>38555</v>
      </c>
      <c r="BM22" s="19">
        <f t="shared" si="79"/>
        <v>342</v>
      </c>
      <c r="BN22">
        <v>1268</v>
      </c>
      <c r="BO22" s="18">
        <f t="shared" si="80"/>
        <v>1227</v>
      </c>
      <c r="BP22" s="19">
        <f t="shared" si="81"/>
        <v>41</v>
      </c>
      <c r="BQ22">
        <v>605</v>
      </c>
      <c r="BR22">
        <v>173</v>
      </c>
      <c r="BS22" s="30">
        <v>449</v>
      </c>
      <c r="BT22">
        <v>37036</v>
      </c>
      <c r="BU22" s="18">
        <f t="shared" si="82"/>
        <v>36979</v>
      </c>
      <c r="BV22" s="19">
        <f t="shared" si="83"/>
        <v>57</v>
      </c>
      <c r="BW22">
        <v>1131</v>
      </c>
      <c r="BX22" s="13">
        <v>1051</v>
      </c>
      <c r="BY22">
        <v>21759</v>
      </c>
      <c r="BZ22">
        <v>13038</v>
      </c>
      <c r="CA22">
        <v>446</v>
      </c>
      <c r="CB22" s="18">
        <f t="shared" si="84"/>
        <v>349</v>
      </c>
      <c r="CC22" s="19">
        <f t="shared" si="85"/>
        <v>97</v>
      </c>
      <c r="CD22">
        <v>121</v>
      </c>
      <c r="CE22">
        <v>53</v>
      </c>
      <c r="CF22">
        <v>102</v>
      </c>
      <c r="CG22">
        <v>73</v>
      </c>
      <c r="CH22">
        <v>1490235</v>
      </c>
      <c r="CI22">
        <v>48609</v>
      </c>
      <c r="CJ22">
        <v>174567</v>
      </c>
      <c r="CK22">
        <v>24650</v>
      </c>
      <c r="CL22">
        <v>57</v>
      </c>
      <c r="CM22">
        <v>1035</v>
      </c>
      <c r="CN22">
        <v>1733</v>
      </c>
      <c r="CO22">
        <v>1339</v>
      </c>
    </row>
    <row r="23" spans="1:93">
      <c r="A23" t="s">
        <v>88</v>
      </c>
      <c r="B23">
        <v>2087.5</v>
      </c>
      <c r="C23" s="18">
        <f t="shared" si="86"/>
        <v>2538.9</v>
      </c>
      <c r="D23" s="24">
        <f t="shared" si="65"/>
        <v>-451.40000000000009</v>
      </c>
      <c r="E23">
        <v>2079.6999999999998</v>
      </c>
      <c r="F23" s="34">
        <v>451.4</v>
      </c>
      <c r="G23">
        <v>7.8</v>
      </c>
      <c r="H23">
        <v>3185.3</v>
      </c>
      <c r="I23">
        <v>298.7</v>
      </c>
      <c r="J23" s="18">
        <f t="shared" si="66"/>
        <v>298.7</v>
      </c>
      <c r="K23" s="19">
        <f t="shared" si="67"/>
        <v>0</v>
      </c>
      <c r="L23">
        <v>286.89999999999998</v>
      </c>
      <c r="M23">
        <v>5.2</v>
      </c>
      <c r="N23">
        <v>6.6</v>
      </c>
      <c r="O23">
        <v>298.7</v>
      </c>
      <c r="P23" s="18">
        <f t="shared" si="68"/>
        <v>298.8</v>
      </c>
      <c r="Q23" s="19">
        <f t="shared" si="69"/>
        <v>-0.10000000000002274</v>
      </c>
      <c r="R23">
        <v>193.5</v>
      </c>
      <c r="S23">
        <v>44.4</v>
      </c>
      <c r="T23">
        <v>46.1</v>
      </c>
      <c r="U23">
        <v>14.8</v>
      </c>
      <c r="V23">
        <v>455.8</v>
      </c>
      <c r="W23">
        <v>3666.6</v>
      </c>
      <c r="X23">
        <v>906.2</v>
      </c>
      <c r="Y23">
        <v>12612.5</v>
      </c>
      <c r="Z23">
        <v>141.5</v>
      </c>
      <c r="AA23">
        <v>230.9</v>
      </c>
      <c r="AB23">
        <v>1645.2</v>
      </c>
      <c r="AC23">
        <v>398.5</v>
      </c>
      <c r="AD23">
        <v>1250.2</v>
      </c>
      <c r="AE23">
        <v>684706</v>
      </c>
      <c r="AF23" s="18">
        <f t="shared" si="70"/>
        <v>684706</v>
      </c>
      <c r="AG23" s="19">
        <f t="shared" si="71"/>
        <v>0</v>
      </c>
      <c r="AH23">
        <v>77212</v>
      </c>
      <c r="AI23" s="13"/>
      <c r="AJ23">
        <v>520435</v>
      </c>
      <c r="AK23">
        <v>29349</v>
      </c>
      <c r="AL23">
        <v>57710</v>
      </c>
      <c r="AM23">
        <v>2932</v>
      </c>
      <c r="AN23">
        <v>211.8</v>
      </c>
      <c r="AO23" s="18">
        <f t="shared" si="72"/>
        <v>211.79999999999998</v>
      </c>
      <c r="AP23" s="18">
        <f t="shared" si="73"/>
        <v>0</v>
      </c>
      <c r="AQ23">
        <v>58.9</v>
      </c>
      <c r="AR23">
        <v>13.9</v>
      </c>
      <c r="AS23">
        <v>26.9</v>
      </c>
      <c r="AT23">
        <v>112.1</v>
      </c>
      <c r="AU23">
        <v>35502</v>
      </c>
      <c r="AV23" s="18">
        <f t="shared" si="74"/>
        <v>35502</v>
      </c>
      <c r="AW23" s="24">
        <f t="shared" si="75"/>
        <v>0</v>
      </c>
      <c r="AX23">
        <v>24550</v>
      </c>
      <c r="AY23">
        <v>2480</v>
      </c>
      <c r="AZ23">
        <v>374</v>
      </c>
      <c r="BA23">
        <v>5225</v>
      </c>
      <c r="BB23">
        <v>2873</v>
      </c>
      <c r="BC23">
        <v>298433</v>
      </c>
      <c r="BD23" s="18">
        <f t="shared" si="76"/>
        <v>298433</v>
      </c>
      <c r="BE23" s="19">
        <f t="shared" si="77"/>
        <v>0</v>
      </c>
      <c r="BF23">
        <v>5063</v>
      </c>
      <c r="BG23">
        <v>216775</v>
      </c>
      <c r="BH23">
        <v>53424</v>
      </c>
      <c r="BI23" t="s">
        <v>71</v>
      </c>
      <c r="BJ23">
        <v>23171</v>
      </c>
      <c r="BK23">
        <v>57611</v>
      </c>
      <c r="BL23" s="18">
        <f t="shared" si="78"/>
        <v>57405</v>
      </c>
      <c r="BM23" s="19">
        <f t="shared" si="79"/>
        <v>206</v>
      </c>
      <c r="BN23">
        <v>1763</v>
      </c>
      <c r="BO23" s="18">
        <f t="shared" si="80"/>
        <v>1715</v>
      </c>
      <c r="BP23" s="19">
        <f t="shared" si="81"/>
        <v>48</v>
      </c>
      <c r="BQ23">
        <v>822</v>
      </c>
      <c r="BR23">
        <v>225</v>
      </c>
      <c r="BS23" s="30">
        <v>668</v>
      </c>
      <c r="BT23">
        <v>55275</v>
      </c>
      <c r="BU23" s="18">
        <f t="shared" si="82"/>
        <v>55275</v>
      </c>
      <c r="BV23" s="19">
        <f t="shared" si="83"/>
        <v>0</v>
      </c>
      <c r="BW23">
        <v>1103</v>
      </c>
      <c r="BX23" s="13">
        <v>1999</v>
      </c>
      <c r="BY23">
        <v>35502</v>
      </c>
      <c r="BZ23">
        <v>16671</v>
      </c>
      <c r="CA23">
        <v>458</v>
      </c>
      <c r="CB23" s="18">
        <f t="shared" si="84"/>
        <v>415</v>
      </c>
      <c r="CC23" s="19">
        <f t="shared" si="85"/>
        <v>43</v>
      </c>
      <c r="CD23">
        <v>146</v>
      </c>
      <c r="CE23">
        <v>62</v>
      </c>
      <c r="CF23">
        <v>140</v>
      </c>
      <c r="CG23">
        <v>67</v>
      </c>
      <c r="CH23">
        <v>1732340</v>
      </c>
      <c r="CI23">
        <v>70723</v>
      </c>
      <c r="CJ23">
        <v>206064</v>
      </c>
      <c r="CK23">
        <v>28663</v>
      </c>
      <c r="CL23">
        <v>72</v>
      </c>
      <c r="CM23">
        <v>908</v>
      </c>
      <c r="CN23">
        <v>451</v>
      </c>
      <c r="CO23">
        <v>3328</v>
      </c>
    </row>
    <row r="24" spans="1:93">
      <c r="A24" t="s">
        <v>89</v>
      </c>
      <c r="B24">
        <v>2349.1</v>
      </c>
      <c r="C24" s="18">
        <f t="shared" si="86"/>
        <v>2904.8</v>
      </c>
      <c r="D24" s="24">
        <f t="shared" si="65"/>
        <v>-555.70000000000027</v>
      </c>
      <c r="E24">
        <v>2339.4</v>
      </c>
      <c r="F24" s="34">
        <v>555.70000000000005</v>
      </c>
      <c r="G24">
        <v>9.6999999999999993</v>
      </c>
      <c r="H24">
        <v>1843.4</v>
      </c>
      <c r="I24">
        <v>411.3</v>
      </c>
      <c r="J24" s="18">
        <f t="shared" si="66"/>
        <v>411.29999999999995</v>
      </c>
      <c r="K24" s="19">
        <f t="shared" si="67"/>
        <v>0</v>
      </c>
      <c r="L24">
        <v>379.4</v>
      </c>
      <c r="M24">
        <v>5.4</v>
      </c>
      <c r="N24">
        <v>26.5</v>
      </c>
      <c r="O24">
        <v>411.3</v>
      </c>
      <c r="P24" s="18">
        <f t="shared" si="68"/>
        <v>411.2</v>
      </c>
      <c r="Q24" s="19">
        <f t="shared" si="69"/>
        <v>0.10000000000002274</v>
      </c>
      <c r="R24">
        <v>194.8</v>
      </c>
      <c r="S24">
        <v>73</v>
      </c>
      <c r="T24">
        <v>117.1</v>
      </c>
      <c r="U24">
        <v>26.3</v>
      </c>
      <c r="V24">
        <v>322.8</v>
      </c>
      <c r="W24">
        <v>1914.7</v>
      </c>
      <c r="X24">
        <v>1282.9000000000001</v>
      </c>
      <c r="Y24">
        <v>10698.5</v>
      </c>
      <c r="Z24">
        <v>244</v>
      </c>
      <c r="AA24">
        <v>176.3</v>
      </c>
      <c r="AB24">
        <v>1849.6</v>
      </c>
      <c r="AC24">
        <v>374.3</v>
      </c>
      <c r="AD24">
        <v>1322.7</v>
      </c>
      <c r="AE24">
        <v>2577356</v>
      </c>
      <c r="AF24" s="18">
        <f t="shared" si="70"/>
        <v>2577356</v>
      </c>
      <c r="AG24" s="19">
        <f t="shared" si="71"/>
        <v>0</v>
      </c>
      <c r="AH24">
        <v>196177</v>
      </c>
      <c r="AI24" s="13"/>
      <c r="AJ24">
        <v>2092772</v>
      </c>
      <c r="AK24">
        <v>171500</v>
      </c>
      <c r="AL24">
        <v>116907</v>
      </c>
      <c r="AM24">
        <v>1560.9</v>
      </c>
      <c r="AN24">
        <v>204.9</v>
      </c>
      <c r="AO24" s="18">
        <f t="shared" si="72"/>
        <v>204.9</v>
      </c>
      <c r="AP24" s="18">
        <f t="shared" si="73"/>
        <v>0</v>
      </c>
      <c r="AQ24">
        <v>76.099999999999994</v>
      </c>
      <c r="AR24">
        <v>24.5</v>
      </c>
      <c r="AS24">
        <v>39.4</v>
      </c>
      <c r="AT24">
        <v>64.900000000000006</v>
      </c>
      <c r="AU24">
        <v>24921</v>
      </c>
      <c r="AV24" s="18">
        <f t="shared" si="74"/>
        <v>24921</v>
      </c>
      <c r="AW24" s="24">
        <f t="shared" si="75"/>
        <v>0</v>
      </c>
      <c r="AX24">
        <v>12604</v>
      </c>
      <c r="AY24">
        <v>2888</v>
      </c>
      <c r="AZ24">
        <v>213</v>
      </c>
      <c r="BA24">
        <v>5202</v>
      </c>
      <c r="BB24">
        <v>4014</v>
      </c>
      <c r="BC24">
        <v>305089</v>
      </c>
      <c r="BD24" s="18">
        <f t="shared" si="76"/>
        <v>305089</v>
      </c>
      <c r="BE24" s="19">
        <f t="shared" si="77"/>
        <v>0</v>
      </c>
      <c r="BF24">
        <v>175457</v>
      </c>
      <c r="BG24">
        <v>96588</v>
      </c>
      <c r="BH24">
        <v>50</v>
      </c>
      <c r="BI24">
        <v>90</v>
      </c>
      <c r="BJ24">
        <v>32904</v>
      </c>
      <c r="BK24">
        <v>66125</v>
      </c>
      <c r="BL24" s="18">
        <f t="shared" si="78"/>
        <v>65460</v>
      </c>
      <c r="BM24" s="19">
        <f t="shared" si="79"/>
        <v>665</v>
      </c>
      <c r="BN24">
        <v>1895</v>
      </c>
      <c r="BO24" s="18">
        <f t="shared" si="80"/>
        <v>1812</v>
      </c>
      <c r="BP24" s="19">
        <f t="shared" si="81"/>
        <v>83</v>
      </c>
      <c r="BQ24">
        <v>971</v>
      </c>
      <c r="BR24">
        <v>208</v>
      </c>
      <c r="BS24" s="30">
        <v>633</v>
      </c>
      <c r="BT24">
        <v>63170</v>
      </c>
      <c r="BU24" s="18">
        <f t="shared" si="82"/>
        <v>63163</v>
      </c>
      <c r="BV24" s="19">
        <f t="shared" si="83"/>
        <v>7</v>
      </c>
      <c r="BW24">
        <v>2816</v>
      </c>
      <c r="BX24" s="13">
        <v>1153</v>
      </c>
      <c r="BY24">
        <v>24921</v>
      </c>
      <c r="BZ24">
        <v>34273</v>
      </c>
      <c r="CA24">
        <v>662</v>
      </c>
      <c r="CB24" s="18">
        <f t="shared" si="84"/>
        <v>485</v>
      </c>
      <c r="CC24" s="19">
        <f t="shared" si="85"/>
        <v>177</v>
      </c>
      <c r="CD24">
        <v>147</v>
      </c>
      <c r="CE24">
        <v>121</v>
      </c>
      <c r="CF24">
        <v>132</v>
      </c>
      <c r="CG24">
        <v>85</v>
      </c>
      <c r="CH24">
        <v>1706500</v>
      </c>
      <c r="CI24">
        <v>97879</v>
      </c>
      <c r="CJ24">
        <v>280421</v>
      </c>
      <c r="CK24">
        <v>33917</v>
      </c>
      <c r="CL24">
        <v>121</v>
      </c>
      <c r="CM24">
        <v>1782</v>
      </c>
      <c r="CN24">
        <v>4236</v>
      </c>
      <c r="CO24">
        <v>5999</v>
      </c>
    </row>
    <row r="25" spans="1:93">
      <c r="A25" t="s">
        <v>90</v>
      </c>
      <c r="B25">
        <v>2467</v>
      </c>
      <c r="C25" s="18">
        <f t="shared" si="86"/>
        <v>2893.3</v>
      </c>
      <c r="D25" s="24">
        <f t="shared" si="65"/>
        <v>-426.30000000000018</v>
      </c>
      <c r="E25">
        <v>2465.9</v>
      </c>
      <c r="F25" s="34">
        <v>426.3</v>
      </c>
      <c r="G25">
        <v>1.1000000000000001</v>
      </c>
      <c r="H25">
        <v>4914.3</v>
      </c>
      <c r="I25">
        <v>250.5</v>
      </c>
      <c r="J25" s="18">
        <f t="shared" si="66"/>
        <v>250.39999999999998</v>
      </c>
      <c r="K25" s="19">
        <f t="shared" si="67"/>
        <v>0.10000000000002274</v>
      </c>
      <c r="L25">
        <v>240.2</v>
      </c>
      <c r="M25">
        <v>5.2</v>
      </c>
      <c r="N25">
        <v>5</v>
      </c>
      <c r="O25">
        <v>250.5</v>
      </c>
      <c r="P25" s="18">
        <f t="shared" si="68"/>
        <v>250.39999999999998</v>
      </c>
      <c r="Q25" s="19">
        <f t="shared" si="69"/>
        <v>0.10000000000002274</v>
      </c>
      <c r="R25">
        <v>179.6</v>
      </c>
      <c r="S25">
        <v>28.7</v>
      </c>
      <c r="T25">
        <v>35.799999999999997</v>
      </c>
      <c r="U25">
        <v>6.3</v>
      </c>
      <c r="V25">
        <v>499</v>
      </c>
      <c r="W25">
        <v>3286.7</v>
      </c>
      <c r="X25">
        <v>1625.3</v>
      </c>
      <c r="Y25">
        <v>16025.4</v>
      </c>
      <c r="Z25">
        <v>287</v>
      </c>
      <c r="AA25">
        <v>125.6</v>
      </c>
      <c r="AB25">
        <v>1034.5999999999999</v>
      </c>
      <c r="AC25">
        <v>416</v>
      </c>
      <c r="AD25">
        <v>750.7</v>
      </c>
      <c r="AE25">
        <v>1044628</v>
      </c>
      <c r="AF25" s="18">
        <f t="shared" si="70"/>
        <v>1044628</v>
      </c>
      <c r="AG25" s="19">
        <f t="shared" si="71"/>
        <v>0</v>
      </c>
      <c r="AH25">
        <v>80767</v>
      </c>
      <c r="AI25" s="13"/>
      <c r="AJ25">
        <v>762239</v>
      </c>
      <c r="AK25">
        <v>96746</v>
      </c>
      <c r="AL25">
        <v>104876</v>
      </c>
      <c r="AM25">
        <v>1778.3</v>
      </c>
      <c r="AN25">
        <v>247.9</v>
      </c>
      <c r="AO25" s="18">
        <f t="shared" si="72"/>
        <v>247.89999999999998</v>
      </c>
      <c r="AP25" s="18">
        <f t="shared" si="73"/>
        <v>0</v>
      </c>
      <c r="AQ25">
        <v>62.7</v>
      </c>
      <c r="AR25">
        <v>25.4</v>
      </c>
      <c r="AS25">
        <v>47.8</v>
      </c>
      <c r="AT25">
        <v>112</v>
      </c>
      <c r="AU25">
        <v>17814</v>
      </c>
      <c r="AV25" s="18">
        <f t="shared" si="74"/>
        <v>17814</v>
      </c>
      <c r="AW25" s="24">
        <f t="shared" si="75"/>
        <v>0</v>
      </c>
      <c r="AX25">
        <v>12930</v>
      </c>
      <c r="AY25">
        <v>1306</v>
      </c>
      <c r="AZ25">
        <v>32</v>
      </c>
      <c r="BA25">
        <v>3421</v>
      </c>
      <c r="BB25">
        <v>125</v>
      </c>
      <c r="BC25">
        <v>83097</v>
      </c>
      <c r="BD25" s="18">
        <f t="shared" si="76"/>
        <v>83098</v>
      </c>
      <c r="BE25" s="19">
        <f t="shared" si="77"/>
        <v>-1</v>
      </c>
      <c r="BF25">
        <v>72</v>
      </c>
      <c r="BG25">
        <v>25219</v>
      </c>
      <c r="BH25">
        <v>4794</v>
      </c>
      <c r="BI25" t="s">
        <v>71</v>
      </c>
      <c r="BJ25">
        <v>53013</v>
      </c>
      <c r="BK25">
        <v>34685</v>
      </c>
      <c r="BL25" s="18">
        <f t="shared" si="78"/>
        <v>34522</v>
      </c>
      <c r="BM25" s="19">
        <f t="shared" si="79"/>
        <v>163</v>
      </c>
      <c r="BN25">
        <v>929</v>
      </c>
      <c r="BO25" s="18">
        <f t="shared" si="80"/>
        <v>891</v>
      </c>
      <c r="BP25" s="19">
        <f t="shared" si="81"/>
        <v>38</v>
      </c>
      <c r="BQ25">
        <v>464</v>
      </c>
      <c r="BR25">
        <v>126</v>
      </c>
      <c r="BS25" s="30">
        <v>301</v>
      </c>
      <c r="BT25">
        <v>33324</v>
      </c>
      <c r="BU25" s="18">
        <f t="shared" si="82"/>
        <v>33324</v>
      </c>
      <c r="BV25" s="19">
        <f t="shared" si="83"/>
        <v>0</v>
      </c>
      <c r="BW25">
        <v>360</v>
      </c>
      <c r="BX25" s="13">
        <v>1265</v>
      </c>
      <c r="BY25">
        <v>17814</v>
      </c>
      <c r="BZ25">
        <v>13885</v>
      </c>
      <c r="CA25">
        <v>352</v>
      </c>
      <c r="CB25" s="18">
        <f t="shared" si="84"/>
        <v>307</v>
      </c>
      <c r="CC25" s="19">
        <f t="shared" si="85"/>
        <v>45</v>
      </c>
      <c r="CD25">
        <v>122</v>
      </c>
      <c r="CE25">
        <v>24</v>
      </c>
      <c r="CF25">
        <v>106</v>
      </c>
      <c r="CG25">
        <v>55</v>
      </c>
      <c r="CH25">
        <v>1005915</v>
      </c>
      <c r="CI25">
        <v>59270</v>
      </c>
      <c r="CJ25">
        <v>205939</v>
      </c>
      <c r="CK25">
        <v>25624</v>
      </c>
      <c r="CL25">
        <v>23</v>
      </c>
      <c r="CM25">
        <v>377</v>
      </c>
      <c r="CN25">
        <v>921</v>
      </c>
      <c r="CO25">
        <v>1432</v>
      </c>
    </row>
    <row r="26" spans="1:93">
      <c r="A26" t="s">
        <v>91</v>
      </c>
      <c r="B26">
        <v>439.7</v>
      </c>
      <c r="C26" s="18">
        <f t="shared" si="86"/>
        <v>555.6</v>
      </c>
      <c r="D26" s="24">
        <f t="shared" si="65"/>
        <v>-115.90000000000003</v>
      </c>
      <c r="E26">
        <v>431.8</v>
      </c>
      <c r="F26" s="34">
        <v>115.9</v>
      </c>
      <c r="G26">
        <v>7.9</v>
      </c>
      <c r="H26">
        <v>4205.6000000000004</v>
      </c>
      <c r="I26">
        <v>44.4</v>
      </c>
      <c r="J26" s="18">
        <f t="shared" si="66"/>
        <v>44.4</v>
      </c>
      <c r="K26" s="19">
        <f t="shared" si="67"/>
        <v>0</v>
      </c>
      <c r="L26">
        <v>42.2</v>
      </c>
      <c r="M26">
        <v>1.4</v>
      </c>
      <c r="N26">
        <v>0.8</v>
      </c>
      <c r="O26">
        <v>44.4</v>
      </c>
      <c r="P26" s="18">
        <f t="shared" si="68"/>
        <v>44.4</v>
      </c>
      <c r="Q26" s="19">
        <f t="shared" si="69"/>
        <v>0</v>
      </c>
      <c r="R26">
        <v>29.9</v>
      </c>
      <c r="S26">
        <v>1.7</v>
      </c>
      <c r="T26">
        <v>10.4</v>
      </c>
      <c r="U26">
        <v>2.4</v>
      </c>
      <c r="V26">
        <v>424.7</v>
      </c>
      <c r="W26">
        <v>494.8</v>
      </c>
      <c r="X26">
        <v>1220.5999999999999</v>
      </c>
      <c r="Y26">
        <v>1142.3</v>
      </c>
      <c r="Z26">
        <v>18.3</v>
      </c>
      <c r="AA26">
        <v>121.5</v>
      </c>
      <c r="AB26">
        <v>253.2</v>
      </c>
      <c r="AC26">
        <v>65.2</v>
      </c>
      <c r="AD26">
        <v>184</v>
      </c>
      <c r="AE26">
        <v>291842</v>
      </c>
      <c r="AF26" s="18">
        <f t="shared" si="70"/>
        <v>291842</v>
      </c>
      <c r="AG26" s="19">
        <f t="shared" si="71"/>
        <v>0</v>
      </c>
      <c r="AH26">
        <v>12776</v>
      </c>
      <c r="AI26" s="13"/>
      <c r="AJ26">
        <v>247219</v>
      </c>
      <c r="AK26">
        <v>22462</v>
      </c>
      <c r="AL26">
        <v>9385</v>
      </c>
      <c r="AM26">
        <v>336.3</v>
      </c>
      <c r="AN26">
        <v>36.4</v>
      </c>
      <c r="AO26" s="18">
        <f t="shared" si="72"/>
        <v>36.299999999999997</v>
      </c>
      <c r="AP26" s="18">
        <f t="shared" si="73"/>
        <v>0.10000000000000142</v>
      </c>
      <c r="AQ26">
        <v>9.4</v>
      </c>
      <c r="AR26">
        <v>2.2999999999999998</v>
      </c>
      <c r="AS26">
        <v>6.6</v>
      </c>
      <c r="AT26">
        <v>18</v>
      </c>
      <c r="AU26">
        <v>2121</v>
      </c>
      <c r="AV26" s="18">
        <f t="shared" si="74"/>
        <v>2121</v>
      </c>
      <c r="AW26" s="24">
        <f t="shared" si="75"/>
        <v>0</v>
      </c>
      <c r="AX26">
        <v>844</v>
      </c>
      <c r="AY26">
        <v>574</v>
      </c>
      <c r="AZ26">
        <v>22</v>
      </c>
      <c r="BA26">
        <v>512</v>
      </c>
      <c r="BB26">
        <v>169</v>
      </c>
      <c r="BC26">
        <v>1508</v>
      </c>
      <c r="BD26" s="18">
        <f t="shared" si="76"/>
        <v>1508</v>
      </c>
      <c r="BE26" s="19">
        <f t="shared" si="77"/>
        <v>0</v>
      </c>
      <c r="BF26">
        <v>583</v>
      </c>
      <c r="BG26">
        <v>730</v>
      </c>
      <c r="BH26" t="s">
        <v>71</v>
      </c>
      <c r="BI26" t="s">
        <v>71</v>
      </c>
      <c r="BJ26">
        <v>195</v>
      </c>
      <c r="BK26">
        <v>6382</v>
      </c>
      <c r="BL26" s="18">
        <f t="shared" si="78"/>
        <v>6300</v>
      </c>
      <c r="BM26" s="19">
        <f t="shared" si="79"/>
        <v>82</v>
      </c>
      <c r="BN26">
        <v>247</v>
      </c>
      <c r="BO26" s="18">
        <f t="shared" si="80"/>
        <v>236</v>
      </c>
      <c r="BP26" s="19">
        <f t="shared" si="81"/>
        <v>11</v>
      </c>
      <c r="BQ26">
        <v>127</v>
      </c>
      <c r="BR26">
        <v>24</v>
      </c>
      <c r="BS26" s="30">
        <v>85</v>
      </c>
      <c r="BT26">
        <v>5999</v>
      </c>
      <c r="BU26" s="18">
        <f t="shared" si="82"/>
        <v>5995</v>
      </c>
      <c r="BV26" s="19">
        <f t="shared" si="83"/>
        <v>4</v>
      </c>
      <c r="BW26">
        <v>216</v>
      </c>
      <c r="BX26" s="13">
        <v>296</v>
      </c>
      <c r="BY26">
        <v>2121</v>
      </c>
      <c r="BZ26">
        <v>3362</v>
      </c>
      <c r="CA26">
        <v>111</v>
      </c>
      <c r="CB26" s="18">
        <f t="shared" si="84"/>
        <v>69</v>
      </c>
      <c r="CC26" s="19">
        <f t="shared" si="85"/>
        <v>42</v>
      </c>
      <c r="CD26">
        <v>27</v>
      </c>
      <c r="CE26">
        <v>16</v>
      </c>
      <c r="CF26">
        <v>26</v>
      </c>
      <c r="CG26" s="13"/>
      <c r="CH26">
        <v>175979</v>
      </c>
      <c r="CI26">
        <v>8004</v>
      </c>
      <c r="CJ26">
        <v>30477</v>
      </c>
      <c r="CK26">
        <v>4385</v>
      </c>
      <c r="CL26">
        <v>2</v>
      </c>
      <c r="CM26">
        <v>127</v>
      </c>
      <c r="CN26">
        <v>33</v>
      </c>
      <c r="CO26">
        <v>44</v>
      </c>
    </row>
    <row r="27" spans="1:93">
      <c r="A27" t="s">
        <v>92</v>
      </c>
      <c r="B27">
        <v>469.8</v>
      </c>
      <c r="C27" s="18">
        <f t="shared" si="86"/>
        <v>566</v>
      </c>
      <c r="D27" s="24">
        <f t="shared" si="65"/>
        <v>-96.199999999999989</v>
      </c>
      <c r="E27">
        <v>469.8</v>
      </c>
      <c r="F27" s="34">
        <v>96.2</v>
      </c>
      <c r="G27" t="s">
        <v>71</v>
      </c>
      <c r="H27">
        <v>1472.5</v>
      </c>
      <c r="I27">
        <v>71.3</v>
      </c>
      <c r="J27" s="18">
        <f t="shared" si="66"/>
        <v>71.3</v>
      </c>
      <c r="K27" s="19">
        <f t="shared" si="67"/>
        <v>0</v>
      </c>
      <c r="L27">
        <v>64.7</v>
      </c>
      <c r="M27">
        <v>0.3</v>
      </c>
      <c r="N27">
        <v>6.3</v>
      </c>
      <c r="O27">
        <v>71.3</v>
      </c>
      <c r="P27" s="18">
        <f t="shared" si="68"/>
        <v>71.300000000000011</v>
      </c>
      <c r="Q27" s="19">
        <f t="shared" si="69"/>
        <v>0</v>
      </c>
      <c r="R27">
        <v>25.1</v>
      </c>
      <c r="S27">
        <v>21.8</v>
      </c>
      <c r="T27">
        <v>22.7</v>
      </c>
      <c r="U27">
        <v>1.7</v>
      </c>
      <c r="V27">
        <v>223.5</v>
      </c>
      <c r="W27">
        <v>1869.6</v>
      </c>
      <c r="X27">
        <v>280.2</v>
      </c>
      <c r="Y27">
        <v>4671</v>
      </c>
      <c r="Z27">
        <v>27.5</v>
      </c>
      <c r="AA27">
        <v>14.5</v>
      </c>
      <c r="AB27">
        <v>640</v>
      </c>
      <c r="AC27">
        <v>184.6</v>
      </c>
      <c r="AD27">
        <v>273.3</v>
      </c>
      <c r="AE27">
        <v>1580317</v>
      </c>
      <c r="AF27" s="18">
        <f t="shared" si="70"/>
        <v>1580317</v>
      </c>
      <c r="AG27" s="19">
        <f t="shared" si="71"/>
        <v>0</v>
      </c>
      <c r="AH27">
        <v>275939</v>
      </c>
      <c r="AI27">
        <v>1100</v>
      </c>
      <c r="AJ27">
        <v>770490</v>
      </c>
      <c r="AK27">
        <v>409854</v>
      </c>
      <c r="AL27">
        <v>122934</v>
      </c>
      <c r="AM27">
        <v>698.4</v>
      </c>
      <c r="AN27">
        <v>88.2</v>
      </c>
      <c r="AO27" s="18">
        <f t="shared" si="72"/>
        <v>88.2</v>
      </c>
      <c r="AP27" s="18">
        <f t="shared" si="73"/>
        <v>0</v>
      </c>
      <c r="AQ27">
        <v>41.6</v>
      </c>
      <c r="AR27">
        <v>15.1</v>
      </c>
      <c r="AS27">
        <v>5.0999999999999996</v>
      </c>
      <c r="AT27">
        <v>26.4</v>
      </c>
      <c r="AU27">
        <v>9353</v>
      </c>
      <c r="AV27" s="18">
        <f t="shared" si="74"/>
        <v>9353</v>
      </c>
      <c r="AW27" s="24">
        <f t="shared" si="75"/>
        <v>0</v>
      </c>
      <c r="AX27">
        <v>7169</v>
      </c>
      <c r="AY27">
        <v>786</v>
      </c>
      <c r="AZ27">
        <v>152</v>
      </c>
      <c r="BA27">
        <v>404</v>
      </c>
      <c r="BB27">
        <v>842</v>
      </c>
      <c r="BC27">
        <v>10537</v>
      </c>
      <c r="BD27" s="18">
        <f t="shared" si="76"/>
        <v>10537</v>
      </c>
      <c r="BE27" s="19">
        <f t="shared" si="77"/>
        <v>0</v>
      </c>
      <c r="BF27">
        <v>113</v>
      </c>
      <c r="BG27">
        <v>10410</v>
      </c>
      <c r="BH27" s="13">
        <v>0</v>
      </c>
      <c r="BI27" s="13">
        <v>8</v>
      </c>
      <c r="BJ27">
        <v>6</v>
      </c>
      <c r="BK27">
        <v>23815</v>
      </c>
      <c r="BL27" s="18">
        <f t="shared" si="78"/>
        <v>23609</v>
      </c>
      <c r="BM27" s="19">
        <f t="shared" si="79"/>
        <v>206</v>
      </c>
      <c r="BN27">
        <v>851</v>
      </c>
      <c r="BO27" s="18">
        <f t="shared" si="80"/>
        <v>782</v>
      </c>
      <c r="BP27" s="19">
        <f t="shared" si="81"/>
        <v>69</v>
      </c>
      <c r="BQ27">
        <v>433</v>
      </c>
      <c r="BR27">
        <v>143</v>
      </c>
      <c r="BS27" s="30">
        <v>206</v>
      </c>
      <c r="BT27">
        <v>22734</v>
      </c>
      <c r="BU27" s="18">
        <f t="shared" si="82"/>
        <v>22732</v>
      </c>
      <c r="BV27" s="19">
        <f t="shared" si="83"/>
        <v>2</v>
      </c>
      <c r="BW27">
        <v>620</v>
      </c>
      <c r="BX27" s="13">
        <v>787</v>
      </c>
      <c r="BY27">
        <v>9353</v>
      </c>
      <c r="BZ27">
        <v>11972</v>
      </c>
      <c r="CA27">
        <v>121</v>
      </c>
      <c r="CB27" s="18">
        <f t="shared" si="84"/>
        <v>95</v>
      </c>
      <c r="CC27" s="19">
        <f t="shared" si="85"/>
        <v>26</v>
      </c>
      <c r="CD27">
        <v>41</v>
      </c>
      <c r="CE27">
        <v>8</v>
      </c>
      <c r="CF27">
        <v>40</v>
      </c>
      <c r="CG27">
        <v>6</v>
      </c>
      <c r="CH27">
        <v>429462</v>
      </c>
      <c r="CI27">
        <v>24196</v>
      </c>
      <c r="CJ27">
        <v>65315</v>
      </c>
      <c r="CK27">
        <v>6565</v>
      </c>
      <c r="CL27">
        <v>115</v>
      </c>
      <c r="CM27">
        <v>3664</v>
      </c>
      <c r="CN27">
        <v>483</v>
      </c>
      <c r="CO27">
        <v>251</v>
      </c>
    </row>
    <row r="28" spans="1:93">
      <c r="A28" t="s">
        <v>93</v>
      </c>
      <c r="B28">
        <v>2434.4</v>
      </c>
      <c r="C28" s="18">
        <f t="shared" si="86"/>
        <v>3040.2</v>
      </c>
      <c r="D28" s="24">
        <f t="shared" si="65"/>
        <v>-605.79999999999973</v>
      </c>
      <c r="E28">
        <v>2433.1</v>
      </c>
      <c r="F28" s="34">
        <v>605.9</v>
      </c>
      <c r="G28">
        <v>1.2</v>
      </c>
      <c r="H28">
        <v>2909.9</v>
      </c>
      <c r="I28">
        <v>255.2</v>
      </c>
      <c r="J28" s="18">
        <f t="shared" si="66"/>
        <v>255.3</v>
      </c>
      <c r="K28" s="19">
        <f t="shared" si="67"/>
        <v>-0.10000000000002274</v>
      </c>
      <c r="L28">
        <v>241.6</v>
      </c>
      <c r="M28">
        <v>5.3</v>
      </c>
      <c r="N28">
        <v>8.4</v>
      </c>
      <c r="O28">
        <v>255.2</v>
      </c>
      <c r="P28" s="18">
        <f t="shared" si="68"/>
        <v>255.2</v>
      </c>
      <c r="Q28" s="19">
        <f t="shared" si="69"/>
        <v>0</v>
      </c>
      <c r="R28">
        <v>163</v>
      </c>
      <c r="S28">
        <v>20.7</v>
      </c>
      <c r="T28">
        <v>61.3</v>
      </c>
      <c r="U28">
        <v>10.199999999999999</v>
      </c>
      <c r="V28">
        <v>305</v>
      </c>
      <c r="W28">
        <v>5252.6</v>
      </c>
      <c r="X28">
        <v>1185.4000000000001</v>
      </c>
      <c r="Y28">
        <v>25387.1</v>
      </c>
      <c r="Z28">
        <v>9607.1</v>
      </c>
      <c r="AA28">
        <v>1228.4000000000001</v>
      </c>
      <c r="AB28">
        <v>1872.1</v>
      </c>
      <c r="AC28">
        <v>567</v>
      </c>
      <c r="AD28">
        <v>1080.5</v>
      </c>
      <c r="AE28">
        <v>6209515</v>
      </c>
      <c r="AF28" s="18">
        <f t="shared" si="70"/>
        <v>6209515</v>
      </c>
      <c r="AG28" s="19">
        <f t="shared" si="71"/>
        <v>0</v>
      </c>
      <c r="AH28">
        <v>823091</v>
      </c>
      <c r="AI28">
        <v>33945</v>
      </c>
      <c r="AJ28">
        <v>3127361</v>
      </c>
      <c r="AK28">
        <v>1140626</v>
      </c>
      <c r="AL28">
        <v>1084492</v>
      </c>
      <c r="AM28">
        <v>3025.7</v>
      </c>
      <c r="AN28">
        <v>200.3</v>
      </c>
      <c r="AO28" s="18">
        <f t="shared" si="72"/>
        <v>200.3</v>
      </c>
      <c r="AP28" s="18">
        <f t="shared" si="73"/>
        <v>0</v>
      </c>
      <c r="AQ28">
        <v>73.099999999999994</v>
      </c>
      <c r="AR28">
        <v>30.5</v>
      </c>
      <c r="AS28">
        <v>13.8</v>
      </c>
      <c r="AT28">
        <v>82.9</v>
      </c>
      <c r="AU28">
        <v>40229</v>
      </c>
      <c r="AV28" s="18">
        <f t="shared" si="74"/>
        <v>40229</v>
      </c>
      <c r="AW28" s="24">
        <f t="shared" si="75"/>
        <v>0</v>
      </c>
      <c r="AX28">
        <v>23118</v>
      </c>
      <c r="AY28">
        <v>3153</v>
      </c>
      <c r="AZ28">
        <v>1328</v>
      </c>
      <c r="BA28">
        <v>7996</v>
      </c>
      <c r="BB28">
        <v>4634</v>
      </c>
      <c r="BC28">
        <v>430025</v>
      </c>
      <c r="BD28" s="18">
        <f t="shared" si="76"/>
        <v>430024</v>
      </c>
      <c r="BE28" s="19">
        <f t="shared" si="77"/>
        <v>1</v>
      </c>
      <c r="BF28">
        <v>72276</v>
      </c>
      <c r="BG28">
        <v>345353</v>
      </c>
      <c r="BH28">
        <v>13</v>
      </c>
      <c r="BI28" t="s">
        <v>71</v>
      </c>
      <c r="BJ28">
        <v>12382</v>
      </c>
      <c r="BK28">
        <v>74797</v>
      </c>
      <c r="BL28" s="18">
        <f t="shared" si="78"/>
        <v>74352</v>
      </c>
      <c r="BM28" s="19">
        <f t="shared" si="79"/>
        <v>445</v>
      </c>
      <c r="BN28">
        <v>2421</v>
      </c>
      <c r="BO28" s="18">
        <f t="shared" si="80"/>
        <v>2314</v>
      </c>
      <c r="BP28" s="19">
        <f t="shared" si="81"/>
        <v>107</v>
      </c>
      <c r="BQ28">
        <v>1341</v>
      </c>
      <c r="BR28">
        <v>284</v>
      </c>
      <c r="BS28" s="30">
        <v>689</v>
      </c>
      <c r="BT28">
        <v>71467</v>
      </c>
      <c r="BU28" s="18">
        <f t="shared" si="82"/>
        <v>71454</v>
      </c>
      <c r="BV28" s="19">
        <f t="shared" si="83"/>
        <v>13</v>
      </c>
      <c r="BW28">
        <v>1101</v>
      </c>
      <c r="BX28" s="13">
        <v>2744</v>
      </c>
      <c r="BY28">
        <v>40229</v>
      </c>
      <c r="BZ28">
        <v>27380</v>
      </c>
      <c r="CA28">
        <v>672</v>
      </c>
      <c r="CB28" s="18">
        <f t="shared" si="84"/>
        <v>584</v>
      </c>
      <c r="CC28" s="19">
        <f t="shared" si="85"/>
        <v>88</v>
      </c>
      <c r="CD28">
        <v>212</v>
      </c>
      <c r="CE28">
        <v>20</v>
      </c>
      <c r="CF28">
        <v>202</v>
      </c>
      <c r="CG28">
        <v>150</v>
      </c>
      <c r="CH28">
        <v>1473764</v>
      </c>
      <c r="CI28">
        <v>67372</v>
      </c>
      <c r="CJ28">
        <v>193442</v>
      </c>
      <c r="CK28">
        <v>21037</v>
      </c>
      <c r="CL28">
        <v>81</v>
      </c>
      <c r="CM28">
        <v>784</v>
      </c>
      <c r="CN28">
        <v>91</v>
      </c>
      <c r="CO28">
        <v>836</v>
      </c>
    </row>
    <row r="29" spans="1:93">
      <c r="A29" t="s">
        <v>94</v>
      </c>
      <c r="B29">
        <v>969.1</v>
      </c>
      <c r="C29" s="18">
        <f t="shared" si="86"/>
        <v>1207.0999999999999</v>
      </c>
      <c r="D29" s="24">
        <f t="shared" si="65"/>
        <v>-237.99999999999989</v>
      </c>
      <c r="E29">
        <v>969.1</v>
      </c>
      <c r="F29" s="34">
        <v>238</v>
      </c>
      <c r="G29" t="s">
        <v>71</v>
      </c>
      <c r="H29">
        <v>2509</v>
      </c>
      <c r="I29">
        <v>93</v>
      </c>
      <c r="J29" s="18">
        <f t="shared" si="66"/>
        <v>93</v>
      </c>
      <c r="K29" s="19">
        <f t="shared" si="67"/>
        <v>0</v>
      </c>
      <c r="L29">
        <v>90.3</v>
      </c>
      <c r="M29">
        <v>1.2</v>
      </c>
      <c r="N29">
        <v>1.5</v>
      </c>
      <c r="O29">
        <v>93</v>
      </c>
      <c r="P29" s="18">
        <f t="shared" si="68"/>
        <v>93</v>
      </c>
      <c r="Q29" s="19">
        <f t="shared" si="69"/>
        <v>0</v>
      </c>
      <c r="R29">
        <v>59.5</v>
      </c>
      <c r="S29">
        <v>10.3</v>
      </c>
      <c r="T29">
        <v>22.1</v>
      </c>
      <c r="U29">
        <v>1.1000000000000001</v>
      </c>
      <c r="V29">
        <v>240.8</v>
      </c>
      <c r="W29">
        <v>3415.2</v>
      </c>
      <c r="X29">
        <v>563.29999999999995</v>
      </c>
      <c r="Y29">
        <v>11213.6</v>
      </c>
      <c r="Z29">
        <v>195.2</v>
      </c>
      <c r="AA29">
        <v>7</v>
      </c>
      <c r="AB29">
        <v>788.1</v>
      </c>
      <c r="AC29">
        <v>373.7</v>
      </c>
      <c r="AD29">
        <v>264.89999999999998</v>
      </c>
      <c r="AE29">
        <v>604915</v>
      </c>
      <c r="AF29" s="18">
        <f t="shared" si="70"/>
        <v>604915</v>
      </c>
      <c r="AG29" s="19">
        <f t="shared" si="71"/>
        <v>0</v>
      </c>
      <c r="AH29">
        <v>116190</v>
      </c>
      <c r="AI29">
        <v>5472</v>
      </c>
      <c r="AJ29">
        <v>418125</v>
      </c>
      <c r="AK29">
        <v>19070</v>
      </c>
      <c r="AL29">
        <v>46058</v>
      </c>
      <c r="AM29">
        <v>1244.0999999999999</v>
      </c>
      <c r="AN29">
        <v>73.599999999999994</v>
      </c>
      <c r="AO29" s="18">
        <f t="shared" si="72"/>
        <v>73.5</v>
      </c>
      <c r="AP29" s="18">
        <f t="shared" si="73"/>
        <v>9.9999999999994316E-2</v>
      </c>
      <c r="AQ29">
        <v>29.4</v>
      </c>
      <c r="AR29">
        <v>7.9</v>
      </c>
      <c r="AS29">
        <v>6.5</v>
      </c>
      <c r="AT29">
        <v>29.7</v>
      </c>
      <c r="AU29">
        <v>18972</v>
      </c>
      <c r="AV29" s="18">
        <f t="shared" si="74"/>
        <v>18972</v>
      </c>
      <c r="AW29" s="24">
        <f t="shared" si="75"/>
        <v>0</v>
      </c>
      <c r="AX29">
        <v>11623</v>
      </c>
      <c r="AY29">
        <v>516</v>
      </c>
      <c r="AZ29">
        <v>230</v>
      </c>
      <c r="BA29">
        <v>3233</v>
      </c>
      <c r="BB29">
        <v>3370</v>
      </c>
      <c r="BC29">
        <v>153814</v>
      </c>
      <c r="BD29" s="18">
        <f t="shared" si="76"/>
        <v>153814</v>
      </c>
      <c r="BE29" s="19">
        <f t="shared" si="77"/>
        <v>0</v>
      </c>
      <c r="BF29">
        <v>59376</v>
      </c>
      <c r="BG29">
        <v>20892</v>
      </c>
      <c r="BH29" s="13"/>
      <c r="BI29">
        <v>5</v>
      </c>
      <c r="BJ29">
        <v>73541</v>
      </c>
      <c r="BK29">
        <v>30869</v>
      </c>
      <c r="BL29" s="18">
        <f t="shared" si="78"/>
        <v>30672</v>
      </c>
      <c r="BM29" s="19">
        <f t="shared" si="79"/>
        <v>197</v>
      </c>
      <c r="BN29">
        <v>1572</v>
      </c>
      <c r="BO29" s="18">
        <f t="shared" si="80"/>
        <v>1538</v>
      </c>
      <c r="BP29" s="19">
        <f t="shared" si="81"/>
        <v>34</v>
      </c>
      <c r="BQ29">
        <v>1029</v>
      </c>
      <c r="BR29">
        <v>156</v>
      </c>
      <c r="BS29" s="30">
        <v>353</v>
      </c>
      <c r="BT29">
        <v>28951</v>
      </c>
      <c r="BU29" s="18">
        <f t="shared" si="82"/>
        <v>28908</v>
      </c>
      <c r="BV29" s="19">
        <f t="shared" si="83"/>
        <v>43</v>
      </c>
      <c r="BW29">
        <v>1097</v>
      </c>
      <c r="BX29" s="13">
        <v>1299</v>
      </c>
      <c r="BY29">
        <v>18972</v>
      </c>
      <c r="BZ29" s="13">
        <v>7540</v>
      </c>
      <c r="CA29">
        <v>282</v>
      </c>
      <c r="CB29" s="18">
        <f t="shared" si="84"/>
        <v>226</v>
      </c>
      <c r="CC29" s="19">
        <f t="shared" si="85"/>
        <v>56</v>
      </c>
      <c r="CD29">
        <v>101</v>
      </c>
      <c r="CE29">
        <v>4</v>
      </c>
      <c r="CF29">
        <v>99</v>
      </c>
      <c r="CG29">
        <v>22</v>
      </c>
      <c r="CH29">
        <v>1179543</v>
      </c>
      <c r="CI29">
        <v>34203</v>
      </c>
      <c r="CJ29">
        <v>107413</v>
      </c>
      <c r="CK29">
        <v>15993</v>
      </c>
      <c r="CL29">
        <v>14</v>
      </c>
      <c r="CM29">
        <v>329</v>
      </c>
      <c r="CN29">
        <v>397</v>
      </c>
      <c r="CO29">
        <v>725</v>
      </c>
    </row>
    <row r="30" spans="1:93">
      <c r="A30" t="s">
        <v>95</v>
      </c>
      <c r="B30">
        <v>1760.4</v>
      </c>
      <c r="C30" s="18">
        <f t="shared" si="86"/>
        <v>2356.1000000000004</v>
      </c>
      <c r="D30" s="24">
        <f t="shared" si="65"/>
        <v>-595.70000000000027</v>
      </c>
      <c r="E30">
        <v>1760.4</v>
      </c>
      <c r="F30" s="34">
        <v>595.70000000000005</v>
      </c>
      <c r="G30" t="s">
        <v>71</v>
      </c>
      <c r="H30">
        <v>3774.4</v>
      </c>
      <c r="I30">
        <v>160.5</v>
      </c>
      <c r="J30" s="18">
        <f t="shared" si="66"/>
        <v>160.49999999999997</v>
      </c>
      <c r="K30" s="19">
        <f t="shared" si="67"/>
        <v>0</v>
      </c>
      <c r="L30">
        <v>152.1</v>
      </c>
      <c r="M30">
        <v>4.7</v>
      </c>
      <c r="N30">
        <v>3.7</v>
      </c>
      <c r="O30">
        <v>160.5</v>
      </c>
      <c r="P30" s="18">
        <f t="shared" si="68"/>
        <v>160.6</v>
      </c>
      <c r="Q30" s="19">
        <f t="shared" si="69"/>
        <v>-9.9999999999994316E-2</v>
      </c>
      <c r="R30">
        <v>113.3</v>
      </c>
      <c r="S30">
        <v>12.4</v>
      </c>
      <c r="T30">
        <v>26.8</v>
      </c>
      <c r="U30">
        <v>8.1</v>
      </c>
      <c r="V30">
        <v>344.1</v>
      </c>
      <c r="W30">
        <v>5484.5</v>
      </c>
      <c r="X30">
        <v>2517.1</v>
      </c>
      <c r="Y30">
        <v>24797.599999999999</v>
      </c>
      <c r="Z30">
        <v>1311.8</v>
      </c>
      <c r="AA30">
        <v>35</v>
      </c>
      <c r="AB30">
        <v>1116</v>
      </c>
      <c r="AC30">
        <v>573.79999999999995</v>
      </c>
      <c r="AD30">
        <v>631.29999999999995</v>
      </c>
      <c r="AE30">
        <v>1252307</v>
      </c>
      <c r="AF30" s="18">
        <f t="shared" si="70"/>
        <v>1252307</v>
      </c>
      <c r="AG30" s="19">
        <f t="shared" si="71"/>
        <v>0</v>
      </c>
      <c r="AH30">
        <v>153247</v>
      </c>
      <c r="AI30" s="13"/>
      <c r="AJ30">
        <v>890299</v>
      </c>
      <c r="AK30">
        <v>122987</v>
      </c>
      <c r="AL30">
        <v>85774</v>
      </c>
      <c r="AM30">
        <v>2057.5</v>
      </c>
      <c r="AN30">
        <v>177.5</v>
      </c>
      <c r="AO30" s="18">
        <f t="shared" si="72"/>
        <v>177.5</v>
      </c>
      <c r="AP30" s="18">
        <f t="shared" si="73"/>
        <v>0</v>
      </c>
      <c r="AQ30">
        <v>79.5</v>
      </c>
      <c r="AR30">
        <v>23</v>
      </c>
      <c r="AS30">
        <v>20.2</v>
      </c>
      <c r="AT30">
        <v>54.8</v>
      </c>
      <c r="AU30">
        <v>13513</v>
      </c>
      <c r="AV30" s="18">
        <f t="shared" si="74"/>
        <v>13513</v>
      </c>
      <c r="AW30" s="24">
        <f t="shared" si="75"/>
        <v>0</v>
      </c>
      <c r="AX30">
        <v>9855</v>
      </c>
      <c r="AY30">
        <v>1851</v>
      </c>
      <c r="AZ30">
        <v>667</v>
      </c>
      <c r="BA30">
        <v>149</v>
      </c>
      <c r="BB30">
        <v>991</v>
      </c>
      <c r="BC30">
        <v>112873</v>
      </c>
      <c r="BD30" s="18">
        <f t="shared" si="76"/>
        <v>112872</v>
      </c>
      <c r="BE30" s="19">
        <f t="shared" si="77"/>
        <v>1</v>
      </c>
      <c r="BF30">
        <v>7004</v>
      </c>
      <c r="BG30">
        <v>81892</v>
      </c>
      <c r="BH30">
        <v>10760</v>
      </c>
      <c r="BI30">
        <v>359</v>
      </c>
      <c r="BJ30">
        <v>12857</v>
      </c>
      <c r="BK30">
        <v>29667</v>
      </c>
      <c r="BL30" s="18">
        <f t="shared" si="78"/>
        <v>29442</v>
      </c>
      <c r="BM30" s="19">
        <f t="shared" si="79"/>
        <v>225</v>
      </c>
      <c r="BN30">
        <v>1390</v>
      </c>
      <c r="BO30" s="18">
        <f t="shared" si="80"/>
        <v>1360</v>
      </c>
      <c r="BP30" s="19">
        <f t="shared" si="81"/>
        <v>30</v>
      </c>
      <c r="BQ30">
        <v>837</v>
      </c>
      <c r="BR30">
        <v>171</v>
      </c>
      <c r="BS30" s="30">
        <v>352</v>
      </c>
      <c r="BT30">
        <v>27662</v>
      </c>
      <c r="BU30" s="18">
        <f t="shared" si="82"/>
        <v>27639</v>
      </c>
      <c r="BV30" s="19">
        <f t="shared" si="83"/>
        <v>23</v>
      </c>
      <c r="BW30">
        <v>669</v>
      </c>
      <c r="BX30" s="13">
        <v>1336</v>
      </c>
      <c r="BY30">
        <v>13513</v>
      </c>
      <c r="BZ30">
        <v>12121</v>
      </c>
      <c r="CA30">
        <v>533</v>
      </c>
      <c r="CB30" s="18">
        <f t="shared" si="84"/>
        <v>443</v>
      </c>
      <c r="CC30" s="19">
        <f t="shared" si="85"/>
        <v>90</v>
      </c>
      <c r="CD30">
        <v>149</v>
      </c>
      <c r="CE30">
        <v>25</v>
      </c>
      <c r="CF30">
        <v>146</v>
      </c>
      <c r="CG30">
        <v>123</v>
      </c>
      <c r="CH30">
        <v>772366</v>
      </c>
      <c r="CI30">
        <v>39132</v>
      </c>
      <c r="CJ30">
        <v>121311</v>
      </c>
      <c r="CK30">
        <v>12081</v>
      </c>
      <c r="CL30">
        <v>29</v>
      </c>
      <c r="CM30">
        <v>315</v>
      </c>
      <c r="CN30">
        <v>149</v>
      </c>
      <c r="CO30">
        <v>1669</v>
      </c>
    </row>
    <row r="31" spans="1:93">
      <c r="A31" t="s">
        <v>96</v>
      </c>
      <c r="B31">
        <v>4420</v>
      </c>
      <c r="C31" s="18">
        <f t="shared" si="86"/>
        <v>5416.5</v>
      </c>
      <c r="D31" s="24">
        <f t="shared" si="65"/>
        <v>-996.5</v>
      </c>
      <c r="E31">
        <v>4420</v>
      </c>
      <c r="F31" s="34">
        <v>996.5</v>
      </c>
      <c r="G31" t="s">
        <v>71</v>
      </c>
      <c r="H31">
        <v>120272.1</v>
      </c>
      <c r="I31">
        <v>32.1</v>
      </c>
      <c r="J31" s="18">
        <f t="shared" si="66"/>
        <v>32.1</v>
      </c>
      <c r="K31" s="19">
        <f t="shared" si="67"/>
        <v>0</v>
      </c>
      <c r="L31">
        <v>29.7</v>
      </c>
      <c r="M31">
        <v>2.1</v>
      </c>
      <c r="N31">
        <v>0.3</v>
      </c>
      <c r="O31">
        <v>32.1</v>
      </c>
      <c r="P31" s="18">
        <f t="shared" si="68"/>
        <v>32.099999999999994</v>
      </c>
      <c r="Q31" s="19">
        <f t="shared" si="69"/>
        <v>0</v>
      </c>
      <c r="R31">
        <v>27</v>
      </c>
      <c r="S31">
        <v>1.4</v>
      </c>
      <c r="T31">
        <v>3.2</v>
      </c>
      <c r="U31">
        <v>0.5</v>
      </c>
      <c r="V31">
        <v>873.5</v>
      </c>
      <c r="W31">
        <v>445.3</v>
      </c>
      <c r="X31">
        <v>14</v>
      </c>
      <c r="Y31">
        <v>17885</v>
      </c>
      <c r="Z31">
        <v>80038.7</v>
      </c>
      <c r="AA31">
        <v>4297.8999999999996</v>
      </c>
      <c r="AB31">
        <v>176.3</v>
      </c>
      <c r="AC31">
        <v>177.7</v>
      </c>
      <c r="AD31">
        <v>5941.3</v>
      </c>
      <c r="AE31">
        <v>143753</v>
      </c>
      <c r="AF31" s="18">
        <f t="shared" si="70"/>
        <v>143753</v>
      </c>
      <c r="AG31" s="19">
        <f t="shared" si="71"/>
        <v>0</v>
      </c>
      <c r="AH31">
        <v>17497</v>
      </c>
      <c r="AI31">
        <v>24042</v>
      </c>
      <c r="AJ31">
        <v>92810</v>
      </c>
      <c r="AK31">
        <v>2200</v>
      </c>
      <c r="AL31">
        <v>7204</v>
      </c>
      <c r="AM31">
        <v>305</v>
      </c>
      <c r="AN31">
        <v>2.6</v>
      </c>
      <c r="AO31" s="18">
        <f t="shared" si="72"/>
        <v>2.6</v>
      </c>
      <c r="AP31" s="18">
        <f t="shared" si="73"/>
        <v>0</v>
      </c>
      <c r="AQ31">
        <v>0.9</v>
      </c>
      <c r="AR31">
        <v>0.5</v>
      </c>
      <c r="AS31">
        <v>0.1</v>
      </c>
      <c r="AT31">
        <v>1.1000000000000001</v>
      </c>
      <c r="AU31">
        <v>5222</v>
      </c>
      <c r="AV31" s="18">
        <f t="shared" si="74"/>
        <v>5222</v>
      </c>
      <c r="AW31" s="24">
        <f t="shared" si="75"/>
        <v>0</v>
      </c>
      <c r="AX31">
        <v>3225</v>
      </c>
      <c r="AY31">
        <v>1223</v>
      </c>
      <c r="AZ31">
        <v>8</v>
      </c>
      <c r="BA31" s="13"/>
      <c r="BB31">
        <v>766</v>
      </c>
      <c r="BC31">
        <v>26</v>
      </c>
      <c r="BD31" s="18">
        <f t="shared" si="76"/>
        <v>26</v>
      </c>
      <c r="BE31" s="19">
        <f t="shared" si="77"/>
        <v>0</v>
      </c>
      <c r="BF31" t="s">
        <v>71</v>
      </c>
      <c r="BG31">
        <v>26</v>
      </c>
      <c r="BH31" t="s">
        <v>71</v>
      </c>
      <c r="BI31" t="s">
        <v>71</v>
      </c>
      <c r="BJ31" t="s">
        <v>71</v>
      </c>
      <c r="BK31">
        <v>7233</v>
      </c>
      <c r="BL31" s="18">
        <f t="shared" si="78"/>
        <v>7158</v>
      </c>
      <c r="BM31" s="19">
        <f t="shared" si="79"/>
        <v>75</v>
      </c>
      <c r="BN31">
        <v>199</v>
      </c>
      <c r="BO31" s="18">
        <f t="shared" si="80"/>
        <v>134</v>
      </c>
      <c r="BP31" s="19">
        <f t="shared" si="81"/>
        <v>65</v>
      </c>
      <c r="BQ31">
        <v>119</v>
      </c>
      <c r="BR31" s="13"/>
      <c r="BS31" s="30">
        <v>15</v>
      </c>
      <c r="BT31">
        <v>6912</v>
      </c>
      <c r="BU31" s="18">
        <f t="shared" si="82"/>
        <v>6912</v>
      </c>
      <c r="BV31" s="19">
        <f t="shared" si="83"/>
        <v>0</v>
      </c>
      <c r="BW31">
        <v>22</v>
      </c>
      <c r="BX31" s="13">
        <v>668</v>
      </c>
      <c r="BY31">
        <v>5222</v>
      </c>
      <c r="BZ31">
        <v>1000</v>
      </c>
      <c r="CA31">
        <v>120</v>
      </c>
      <c r="CB31" s="18">
        <f t="shared" si="84"/>
        <v>112</v>
      </c>
      <c r="CC31" s="19">
        <f t="shared" si="85"/>
        <v>8</v>
      </c>
      <c r="CD31">
        <v>82</v>
      </c>
      <c r="CE31" s="13"/>
      <c r="CF31">
        <v>27</v>
      </c>
      <c r="CG31">
        <v>3</v>
      </c>
      <c r="CH31">
        <v>506406</v>
      </c>
      <c r="CI31">
        <v>9368</v>
      </c>
      <c r="CJ31">
        <v>29589</v>
      </c>
      <c r="CK31">
        <v>4228</v>
      </c>
      <c r="CL31">
        <v>0</v>
      </c>
      <c r="CM31" t="s">
        <v>71</v>
      </c>
      <c r="CN31" t="s">
        <v>71</v>
      </c>
      <c r="CO31">
        <v>18</v>
      </c>
    </row>
    <row r="32" spans="1:93">
      <c r="A32" t="s">
        <v>97</v>
      </c>
      <c r="B32">
        <v>389.3</v>
      </c>
      <c r="C32" s="18">
        <f t="shared" si="86"/>
        <v>533.70000000000005</v>
      </c>
      <c r="D32" s="24">
        <f t="shared" si="65"/>
        <v>-144.40000000000003</v>
      </c>
      <c r="E32">
        <v>353.8</v>
      </c>
      <c r="F32" s="34">
        <v>144.4</v>
      </c>
      <c r="G32">
        <v>35.5</v>
      </c>
      <c r="H32">
        <v>984.9</v>
      </c>
      <c r="I32">
        <v>100</v>
      </c>
      <c r="J32" s="18">
        <f t="shared" si="66"/>
        <v>100.10000000000001</v>
      </c>
      <c r="K32" s="19">
        <f t="shared" si="67"/>
        <v>-0.10000000000000853</v>
      </c>
      <c r="L32">
        <v>61.6</v>
      </c>
      <c r="M32">
        <v>30.1</v>
      </c>
      <c r="N32">
        <v>8.4</v>
      </c>
      <c r="O32">
        <v>100</v>
      </c>
      <c r="P32" s="18">
        <f t="shared" si="68"/>
        <v>100.00000000000001</v>
      </c>
      <c r="Q32" s="19">
        <f t="shared" si="69"/>
        <v>0</v>
      </c>
      <c r="R32">
        <v>56</v>
      </c>
      <c r="S32">
        <v>14.9</v>
      </c>
      <c r="T32">
        <v>21.2</v>
      </c>
      <c r="U32">
        <v>7.9</v>
      </c>
      <c r="V32">
        <v>253</v>
      </c>
      <c r="W32">
        <v>3040.6</v>
      </c>
      <c r="X32">
        <v>1105.4000000000001</v>
      </c>
      <c r="Y32">
        <v>12436.5</v>
      </c>
      <c r="Z32">
        <v>2188.8000000000002</v>
      </c>
      <c r="AA32">
        <v>45.9</v>
      </c>
      <c r="AB32">
        <v>941.7</v>
      </c>
      <c r="AC32">
        <v>321.60000000000002</v>
      </c>
      <c r="AD32">
        <v>283.10000000000002</v>
      </c>
      <c r="AE32">
        <v>1951759</v>
      </c>
      <c r="AF32" s="18">
        <f t="shared" si="70"/>
        <v>1951759</v>
      </c>
      <c r="AG32" s="19">
        <f t="shared" si="71"/>
        <v>0</v>
      </c>
      <c r="AH32">
        <v>219246</v>
      </c>
      <c r="AI32">
        <v>344591</v>
      </c>
      <c r="AJ32">
        <v>1002632</v>
      </c>
      <c r="AK32">
        <v>243579</v>
      </c>
      <c r="AL32">
        <v>141711</v>
      </c>
      <c r="AM32">
        <v>1186.5999999999999</v>
      </c>
      <c r="AN32">
        <v>193.7</v>
      </c>
      <c r="AO32" s="18">
        <f t="shared" si="72"/>
        <v>193.7</v>
      </c>
      <c r="AP32" s="18">
        <f t="shared" si="73"/>
        <v>0</v>
      </c>
      <c r="AQ32">
        <v>71.8</v>
      </c>
      <c r="AR32">
        <v>15.8</v>
      </c>
      <c r="AS32">
        <v>19.100000000000001</v>
      </c>
      <c r="AT32">
        <v>87</v>
      </c>
      <c r="AU32">
        <v>20995</v>
      </c>
      <c r="AV32" s="18">
        <f t="shared" si="74"/>
        <v>20995</v>
      </c>
      <c r="AW32" s="24">
        <f t="shared" si="75"/>
        <v>0</v>
      </c>
      <c r="AX32">
        <v>19444</v>
      </c>
      <c r="AY32">
        <v>115</v>
      </c>
      <c r="AZ32">
        <v>203</v>
      </c>
      <c r="BA32">
        <v>1221</v>
      </c>
      <c r="BB32">
        <v>12</v>
      </c>
      <c r="BC32">
        <v>67346</v>
      </c>
      <c r="BD32" s="18">
        <f t="shared" si="76"/>
        <v>67346</v>
      </c>
      <c r="BE32" s="19">
        <f t="shared" si="77"/>
        <v>0</v>
      </c>
      <c r="BF32">
        <v>26397</v>
      </c>
      <c r="BG32">
        <v>9166</v>
      </c>
      <c r="BH32">
        <v>382</v>
      </c>
      <c r="BI32" t="s">
        <v>71</v>
      </c>
      <c r="BJ32">
        <v>31401</v>
      </c>
      <c r="BK32">
        <v>35426</v>
      </c>
      <c r="BL32" s="18">
        <f t="shared" si="78"/>
        <v>35204</v>
      </c>
      <c r="BM32" s="19">
        <f t="shared" si="79"/>
        <v>222</v>
      </c>
      <c r="BN32">
        <v>1288</v>
      </c>
      <c r="BO32" s="18">
        <f t="shared" si="80"/>
        <v>1262</v>
      </c>
      <c r="BP32" s="19">
        <f t="shared" si="81"/>
        <v>26</v>
      </c>
      <c r="BQ32">
        <v>737</v>
      </c>
      <c r="BR32">
        <v>181</v>
      </c>
      <c r="BS32" s="30">
        <v>344</v>
      </c>
      <c r="BT32">
        <v>33662</v>
      </c>
      <c r="BU32" s="18">
        <f t="shared" si="82"/>
        <v>33625</v>
      </c>
      <c r="BV32" s="19">
        <f t="shared" si="83"/>
        <v>37</v>
      </c>
      <c r="BW32">
        <v>769</v>
      </c>
      <c r="BX32" s="13">
        <v>1489</v>
      </c>
      <c r="BY32">
        <v>20995</v>
      </c>
      <c r="BZ32">
        <v>10372</v>
      </c>
      <c r="CA32">
        <v>355</v>
      </c>
      <c r="CB32" s="18">
        <f t="shared" si="84"/>
        <v>317</v>
      </c>
      <c r="CC32" s="19">
        <f t="shared" si="85"/>
        <v>38</v>
      </c>
      <c r="CD32">
        <v>121</v>
      </c>
      <c r="CE32">
        <v>4</v>
      </c>
      <c r="CF32">
        <v>118</v>
      </c>
      <c r="CG32">
        <v>74</v>
      </c>
      <c r="CH32">
        <v>400614</v>
      </c>
      <c r="CI32">
        <v>20984</v>
      </c>
      <c r="CJ32">
        <v>49220</v>
      </c>
      <c r="CK32">
        <v>4706</v>
      </c>
      <c r="CL32">
        <v>28</v>
      </c>
      <c r="CM32">
        <v>1198</v>
      </c>
      <c r="CN32">
        <v>321</v>
      </c>
      <c r="CO32">
        <v>1127</v>
      </c>
    </row>
    <row r="33" spans="1:93">
      <c r="A33" t="s">
        <v>98</v>
      </c>
      <c r="B33">
        <v>261.39999999999998</v>
      </c>
      <c r="C33" s="18">
        <f t="shared" si="86"/>
        <v>384.7</v>
      </c>
      <c r="D33" s="24">
        <f t="shared" si="65"/>
        <v>-123.30000000000001</v>
      </c>
      <c r="E33">
        <v>250.6</v>
      </c>
      <c r="F33" s="34">
        <v>123.3</v>
      </c>
      <c r="G33">
        <v>10.8</v>
      </c>
      <c r="H33">
        <v>1062</v>
      </c>
      <c r="I33">
        <v>117.3</v>
      </c>
      <c r="J33" s="18">
        <f t="shared" si="66"/>
        <v>117.2</v>
      </c>
      <c r="K33" s="19">
        <f t="shared" si="67"/>
        <v>9.9999999999994316E-2</v>
      </c>
      <c r="L33">
        <v>83.9</v>
      </c>
      <c r="M33">
        <v>28.5</v>
      </c>
      <c r="N33">
        <v>4.8</v>
      </c>
      <c r="O33">
        <v>117.3</v>
      </c>
      <c r="P33" s="18">
        <f t="shared" si="68"/>
        <v>117.3</v>
      </c>
      <c r="Q33" s="19">
        <f t="shared" si="69"/>
        <v>0</v>
      </c>
      <c r="R33">
        <v>90</v>
      </c>
      <c r="S33">
        <v>6.4</v>
      </c>
      <c r="T33">
        <v>10.6</v>
      </c>
      <c r="U33">
        <v>10.3</v>
      </c>
      <c r="V33">
        <v>476.5</v>
      </c>
      <c r="W33">
        <v>5220.3</v>
      </c>
      <c r="X33">
        <v>413.4</v>
      </c>
      <c r="Y33">
        <v>8218.9</v>
      </c>
      <c r="Z33">
        <v>14039.3</v>
      </c>
      <c r="AA33">
        <v>1182.0999999999999</v>
      </c>
      <c r="AB33">
        <v>887.1</v>
      </c>
      <c r="AC33">
        <v>358.3</v>
      </c>
      <c r="AD33">
        <v>413.7</v>
      </c>
      <c r="AE33">
        <v>1718766</v>
      </c>
      <c r="AF33" s="18">
        <f t="shared" si="70"/>
        <v>1718766</v>
      </c>
      <c r="AG33" s="19">
        <f t="shared" si="71"/>
        <v>0</v>
      </c>
      <c r="AH33">
        <v>218513</v>
      </c>
      <c r="AI33">
        <v>525968</v>
      </c>
      <c r="AJ33">
        <v>722488</v>
      </c>
      <c r="AK33">
        <v>81172</v>
      </c>
      <c r="AL33">
        <v>170625</v>
      </c>
      <c r="AM33">
        <v>1453.9</v>
      </c>
      <c r="AN33">
        <v>77.3</v>
      </c>
      <c r="AO33" s="18">
        <f t="shared" si="72"/>
        <v>77.2</v>
      </c>
      <c r="AP33" s="18">
        <f t="shared" si="73"/>
        <v>9.9999999999994316E-2</v>
      </c>
      <c r="AQ33">
        <v>29.4</v>
      </c>
      <c r="AR33">
        <v>14.1</v>
      </c>
      <c r="AS33">
        <v>7.7</v>
      </c>
      <c r="AT33">
        <v>26</v>
      </c>
      <c r="AU33">
        <v>16222</v>
      </c>
      <c r="AV33" s="18">
        <f t="shared" si="74"/>
        <v>16222</v>
      </c>
      <c r="AW33" s="24">
        <f t="shared" si="75"/>
        <v>0</v>
      </c>
      <c r="AX33">
        <v>5742</v>
      </c>
      <c r="AY33">
        <v>6755</v>
      </c>
      <c r="AZ33">
        <v>751</v>
      </c>
      <c r="BA33">
        <v>1413</v>
      </c>
      <c r="BB33">
        <v>1561</v>
      </c>
      <c r="BC33">
        <v>64955</v>
      </c>
      <c r="BD33" s="18">
        <f t="shared" si="76"/>
        <v>64955</v>
      </c>
      <c r="BE33" s="19">
        <f t="shared" si="77"/>
        <v>0</v>
      </c>
      <c r="BF33">
        <v>9911</v>
      </c>
      <c r="BG33">
        <v>36913</v>
      </c>
      <c r="BH33">
        <v>607</v>
      </c>
      <c r="BI33" t="s">
        <v>71</v>
      </c>
      <c r="BJ33">
        <v>17524</v>
      </c>
      <c r="BK33">
        <v>26741</v>
      </c>
      <c r="BL33" s="18">
        <f t="shared" si="78"/>
        <v>26577</v>
      </c>
      <c r="BM33" s="19">
        <f t="shared" si="79"/>
        <v>164</v>
      </c>
      <c r="BN33">
        <v>765</v>
      </c>
      <c r="BO33" s="18">
        <f t="shared" si="80"/>
        <v>709</v>
      </c>
      <c r="BP33" s="19">
        <f t="shared" si="81"/>
        <v>56</v>
      </c>
      <c r="BQ33">
        <v>365</v>
      </c>
      <c r="BR33">
        <v>127</v>
      </c>
      <c r="BS33" s="30">
        <v>217</v>
      </c>
      <c r="BT33">
        <v>25653</v>
      </c>
      <c r="BU33" s="18">
        <f t="shared" si="82"/>
        <v>25650</v>
      </c>
      <c r="BV33" s="19">
        <f t="shared" si="83"/>
        <v>3</v>
      </c>
      <c r="BW33">
        <v>832</v>
      </c>
      <c r="BX33" s="13">
        <v>1341</v>
      </c>
      <c r="BY33">
        <v>16222</v>
      </c>
      <c r="BZ33">
        <v>7255</v>
      </c>
      <c r="CA33">
        <v>286</v>
      </c>
      <c r="CB33" s="18">
        <f t="shared" si="84"/>
        <v>218</v>
      </c>
      <c r="CC33" s="19">
        <f t="shared" si="85"/>
        <v>68</v>
      </c>
      <c r="CD33">
        <v>105</v>
      </c>
      <c r="CE33">
        <v>10</v>
      </c>
      <c r="CF33">
        <v>99</v>
      </c>
      <c r="CG33">
        <v>4</v>
      </c>
      <c r="CH33">
        <v>920791</v>
      </c>
      <c r="CI33">
        <v>12589</v>
      </c>
      <c r="CJ33">
        <v>46883</v>
      </c>
      <c r="CK33">
        <v>6804</v>
      </c>
      <c r="CL33">
        <v>12</v>
      </c>
      <c r="CM33">
        <v>542</v>
      </c>
      <c r="CN33">
        <v>105</v>
      </c>
      <c r="CO33">
        <v>804</v>
      </c>
    </row>
    <row r="34" spans="1:93">
      <c r="A34" t="s">
        <v>99</v>
      </c>
      <c r="B34">
        <v>958.6</v>
      </c>
      <c r="C34" s="18">
        <f t="shared" si="86"/>
        <v>1371.5</v>
      </c>
      <c r="D34" s="24">
        <f t="shared" si="65"/>
        <v>-412.9</v>
      </c>
      <c r="E34">
        <v>932.4</v>
      </c>
      <c r="F34" s="34">
        <v>412.9</v>
      </c>
      <c r="G34">
        <v>26.2</v>
      </c>
      <c r="H34">
        <v>16151.6</v>
      </c>
      <c r="I34">
        <v>26.1</v>
      </c>
      <c r="J34" s="18">
        <f t="shared" si="66"/>
        <v>26.099999999999998</v>
      </c>
      <c r="K34" s="19">
        <f t="shared" si="67"/>
        <v>0</v>
      </c>
      <c r="L34">
        <v>20.2</v>
      </c>
      <c r="M34">
        <v>4.5999999999999996</v>
      </c>
      <c r="N34">
        <v>1.3</v>
      </c>
      <c r="O34">
        <v>26.1</v>
      </c>
      <c r="P34" s="18">
        <f t="shared" si="68"/>
        <v>26.099999999999998</v>
      </c>
      <c r="Q34" s="19">
        <f t="shared" si="69"/>
        <v>0</v>
      </c>
      <c r="R34">
        <v>17.7</v>
      </c>
      <c r="S34">
        <v>3.2</v>
      </c>
      <c r="T34">
        <v>3.2</v>
      </c>
      <c r="U34">
        <v>2</v>
      </c>
      <c r="V34">
        <v>439.8</v>
      </c>
      <c r="W34">
        <v>570</v>
      </c>
      <c r="X34">
        <v>59.2</v>
      </c>
      <c r="Y34">
        <v>4604</v>
      </c>
      <c r="Z34">
        <v>39432.9</v>
      </c>
      <c r="AA34">
        <v>5100</v>
      </c>
      <c r="AB34">
        <v>384.2</v>
      </c>
      <c r="AC34">
        <v>154.30000000000001</v>
      </c>
      <c r="AD34">
        <v>2455.3000000000002</v>
      </c>
      <c r="AE34">
        <v>161140</v>
      </c>
      <c r="AF34" s="18">
        <f t="shared" si="70"/>
        <v>161140</v>
      </c>
      <c r="AG34" s="19">
        <f t="shared" si="71"/>
        <v>0</v>
      </c>
      <c r="AH34">
        <v>36229</v>
      </c>
      <c r="AI34">
        <v>59072</v>
      </c>
      <c r="AJ34">
        <v>57248</v>
      </c>
      <c r="AK34">
        <v>7941</v>
      </c>
      <c r="AL34">
        <v>650</v>
      </c>
      <c r="AM34">
        <v>229.1</v>
      </c>
      <c r="AN34">
        <v>4.5</v>
      </c>
      <c r="AO34" s="18">
        <f t="shared" si="72"/>
        <v>4.4000000000000004</v>
      </c>
      <c r="AP34" s="18">
        <f t="shared" si="73"/>
        <v>9.9999999999999645E-2</v>
      </c>
      <c r="AQ34">
        <v>1.7</v>
      </c>
      <c r="AR34">
        <v>0.5</v>
      </c>
      <c r="AS34">
        <v>0.1</v>
      </c>
      <c r="AT34">
        <v>2.1</v>
      </c>
      <c r="AU34">
        <v>4489</v>
      </c>
      <c r="AV34" s="18">
        <f t="shared" si="74"/>
        <v>4489</v>
      </c>
      <c r="AW34" s="24">
        <f t="shared" si="75"/>
        <v>0</v>
      </c>
      <c r="AX34">
        <v>2571</v>
      </c>
      <c r="AY34">
        <v>656</v>
      </c>
      <c r="AZ34">
        <v>479</v>
      </c>
      <c r="BA34">
        <v>317</v>
      </c>
      <c r="BB34">
        <v>466</v>
      </c>
      <c r="BC34">
        <v>128587</v>
      </c>
      <c r="BD34" s="18">
        <f t="shared" si="76"/>
        <v>128587</v>
      </c>
      <c r="BE34" s="19">
        <f t="shared" si="77"/>
        <v>0</v>
      </c>
      <c r="BF34">
        <v>10375</v>
      </c>
      <c r="BG34">
        <v>57637</v>
      </c>
      <c r="BH34">
        <v>26146</v>
      </c>
      <c r="BI34">
        <v>62</v>
      </c>
      <c r="BJ34">
        <v>34367</v>
      </c>
      <c r="BK34">
        <v>6914</v>
      </c>
      <c r="BL34" s="18">
        <f t="shared" si="78"/>
        <v>6834</v>
      </c>
      <c r="BM34" s="19">
        <f t="shared" si="79"/>
        <v>80</v>
      </c>
      <c r="BN34">
        <v>252</v>
      </c>
      <c r="BO34" s="18">
        <f t="shared" si="80"/>
        <v>189</v>
      </c>
      <c r="BP34" s="19">
        <f t="shared" si="81"/>
        <v>63</v>
      </c>
      <c r="BQ34">
        <v>134</v>
      </c>
      <c r="BR34">
        <v>16</v>
      </c>
      <c r="BS34" s="30">
        <v>39</v>
      </c>
      <c r="BT34">
        <v>6536</v>
      </c>
      <c r="BU34" s="18">
        <f t="shared" si="82"/>
        <v>6536</v>
      </c>
      <c r="BV34" s="19">
        <f t="shared" si="83"/>
        <v>0</v>
      </c>
      <c r="BW34">
        <v>280</v>
      </c>
      <c r="BX34" s="13">
        <v>406</v>
      </c>
      <c r="BY34">
        <v>4489</v>
      </c>
      <c r="BZ34" s="13">
        <v>1361</v>
      </c>
      <c r="CA34">
        <v>124</v>
      </c>
      <c r="CB34" s="18">
        <f t="shared" si="84"/>
        <v>109</v>
      </c>
      <c r="CC34" s="19">
        <f t="shared" si="85"/>
        <v>15</v>
      </c>
      <c r="CD34">
        <v>54</v>
      </c>
      <c r="CE34">
        <v>2</v>
      </c>
      <c r="CF34">
        <v>52</v>
      </c>
      <c r="CG34">
        <v>1</v>
      </c>
      <c r="CH34">
        <v>281929</v>
      </c>
      <c r="CI34">
        <v>4158</v>
      </c>
      <c r="CJ34">
        <v>14989</v>
      </c>
      <c r="CK34">
        <v>1456</v>
      </c>
      <c r="CL34">
        <v>3</v>
      </c>
      <c r="CM34">
        <v>298</v>
      </c>
      <c r="CN34">
        <v>80</v>
      </c>
      <c r="CO34">
        <v>52</v>
      </c>
    </row>
    <row r="35" spans="1:93">
      <c r="A35" t="s">
        <v>100</v>
      </c>
      <c r="B35">
        <v>13</v>
      </c>
      <c r="C35" s="18">
        <f t="shared" si="86"/>
        <v>29.1</v>
      </c>
      <c r="D35" s="24">
        <f t="shared" si="65"/>
        <v>-16.100000000000001</v>
      </c>
      <c r="E35">
        <v>10</v>
      </c>
      <c r="F35" s="34">
        <v>16.100000000000001</v>
      </c>
      <c r="G35">
        <v>3</v>
      </c>
      <c r="H35">
        <v>178.3</v>
      </c>
      <c r="I35">
        <v>61.4</v>
      </c>
      <c r="J35" s="18">
        <f t="shared" si="66"/>
        <v>61.4</v>
      </c>
      <c r="K35" s="19">
        <f t="shared" si="67"/>
        <v>0</v>
      </c>
      <c r="L35">
        <v>52.9</v>
      </c>
      <c r="M35">
        <v>4.7</v>
      </c>
      <c r="N35">
        <v>3.8</v>
      </c>
      <c r="O35">
        <v>61.4</v>
      </c>
      <c r="P35" s="18">
        <f t="shared" si="68"/>
        <v>61.400000000000006</v>
      </c>
      <c r="Q35" s="19">
        <f t="shared" si="69"/>
        <v>0</v>
      </c>
      <c r="R35">
        <v>48.7</v>
      </c>
      <c r="S35">
        <v>5.7</v>
      </c>
      <c r="T35">
        <v>3.8</v>
      </c>
      <c r="U35">
        <v>3.2</v>
      </c>
      <c r="V35">
        <v>842.2</v>
      </c>
      <c r="W35">
        <v>1207.3</v>
      </c>
      <c r="X35">
        <v>89.2</v>
      </c>
      <c r="Y35">
        <v>981.3</v>
      </c>
      <c r="Z35">
        <v>1980.6</v>
      </c>
      <c r="AA35">
        <v>25.4</v>
      </c>
      <c r="AB35">
        <v>303.7</v>
      </c>
      <c r="AC35">
        <v>101.2</v>
      </c>
      <c r="AD35">
        <v>170.7</v>
      </c>
      <c r="AE35">
        <v>470978</v>
      </c>
      <c r="AF35" s="18">
        <f t="shared" si="70"/>
        <v>470978</v>
      </c>
      <c r="AG35" s="19">
        <f t="shared" si="71"/>
        <v>0</v>
      </c>
      <c r="AH35">
        <v>77162</v>
      </c>
      <c r="AI35">
        <v>184033</v>
      </c>
      <c r="AJ35">
        <v>188160</v>
      </c>
      <c r="AK35">
        <v>16168</v>
      </c>
      <c r="AL35">
        <v>5455</v>
      </c>
      <c r="AM35">
        <v>564.70000000000005</v>
      </c>
      <c r="AN35">
        <v>36.799999999999997</v>
      </c>
      <c r="AO35" s="18">
        <f t="shared" si="72"/>
        <v>36.799999999999997</v>
      </c>
      <c r="AP35" s="18">
        <f t="shared" si="73"/>
        <v>0</v>
      </c>
      <c r="AQ35">
        <v>13.5</v>
      </c>
      <c r="AR35">
        <v>4.0999999999999996</v>
      </c>
      <c r="AS35">
        <v>2.9</v>
      </c>
      <c r="AT35">
        <v>16.3</v>
      </c>
      <c r="AU35">
        <v>2139</v>
      </c>
      <c r="AV35" s="18">
        <f t="shared" si="74"/>
        <v>2139</v>
      </c>
      <c r="AW35" s="24">
        <f t="shared" si="75"/>
        <v>0</v>
      </c>
      <c r="AX35" s="13"/>
      <c r="AY35">
        <v>2139</v>
      </c>
      <c r="AZ35" t="s">
        <v>71</v>
      </c>
      <c r="BA35" t="s">
        <v>71</v>
      </c>
      <c r="BB35" t="s">
        <v>71</v>
      </c>
      <c r="BC35">
        <v>36360</v>
      </c>
      <c r="BD35" s="18">
        <f t="shared" si="76"/>
        <v>36360</v>
      </c>
      <c r="BE35" s="19">
        <f t="shared" si="77"/>
        <v>0</v>
      </c>
      <c r="BF35" s="13" t="s">
        <v>71</v>
      </c>
      <c r="BG35">
        <v>34163</v>
      </c>
      <c r="BH35">
        <v>333</v>
      </c>
      <c r="BI35" t="s">
        <v>71</v>
      </c>
      <c r="BJ35">
        <v>1864</v>
      </c>
      <c r="BK35">
        <v>4986</v>
      </c>
      <c r="BL35" s="18">
        <f t="shared" si="78"/>
        <v>4927</v>
      </c>
      <c r="BM35" s="19">
        <f t="shared" si="79"/>
        <v>59</v>
      </c>
      <c r="BN35">
        <v>219</v>
      </c>
      <c r="BO35" s="18">
        <f t="shared" si="80"/>
        <v>213</v>
      </c>
      <c r="BP35" s="19">
        <f t="shared" si="81"/>
        <v>6</v>
      </c>
      <c r="BQ35">
        <v>132</v>
      </c>
      <c r="BR35">
        <v>31</v>
      </c>
      <c r="BS35" s="30">
        <v>50</v>
      </c>
      <c r="BT35">
        <v>4660</v>
      </c>
      <c r="BU35" s="18">
        <f t="shared" si="82"/>
        <v>4660</v>
      </c>
      <c r="BV35" s="19">
        <f t="shared" si="83"/>
        <v>0</v>
      </c>
      <c r="BW35">
        <v>254</v>
      </c>
      <c r="BX35" s="13">
        <v>204</v>
      </c>
      <c r="BY35">
        <v>2139</v>
      </c>
      <c r="BZ35">
        <v>2063</v>
      </c>
      <c r="CA35">
        <v>84</v>
      </c>
      <c r="CB35" s="18">
        <f t="shared" si="84"/>
        <v>54</v>
      </c>
      <c r="CC35" s="19">
        <f t="shared" si="85"/>
        <v>30</v>
      </c>
      <c r="CD35">
        <v>27</v>
      </c>
      <c r="CE35" t="s">
        <v>71</v>
      </c>
      <c r="CF35">
        <v>25</v>
      </c>
      <c r="CG35">
        <v>2</v>
      </c>
      <c r="CH35">
        <v>263736</v>
      </c>
      <c r="CI35">
        <v>4852</v>
      </c>
      <c r="CJ35">
        <v>15892</v>
      </c>
      <c r="CK35">
        <v>2469</v>
      </c>
      <c r="CL35">
        <v>6</v>
      </c>
      <c r="CM35">
        <v>182</v>
      </c>
      <c r="CN35">
        <v>151</v>
      </c>
      <c r="CO35">
        <v>19</v>
      </c>
    </row>
    <row r="36" spans="1:93">
      <c r="A36" t="s">
        <v>101</v>
      </c>
      <c r="B36">
        <v>1025.9000000000001</v>
      </c>
      <c r="C36" s="18">
        <f t="shared" si="86"/>
        <v>1567.0000000000002</v>
      </c>
      <c r="D36" s="24">
        <f t="shared" si="65"/>
        <v>-541.10000000000014</v>
      </c>
      <c r="E36">
        <v>975.7</v>
      </c>
      <c r="F36" s="34">
        <v>541.1</v>
      </c>
      <c r="G36">
        <v>50.2</v>
      </c>
      <c r="H36">
        <v>3929.9</v>
      </c>
      <c r="I36">
        <v>633</v>
      </c>
      <c r="J36" s="18">
        <f t="shared" si="66"/>
        <v>633</v>
      </c>
      <c r="K36" s="19">
        <f t="shared" si="67"/>
        <v>0</v>
      </c>
      <c r="L36">
        <v>498.3</v>
      </c>
      <c r="M36">
        <v>118.7</v>
      </c>
      <c r="N36">
        <v>16</v>
      </c>
      <c r="O36">
        <v>633</v>
      </c>
      <c r="P36" s="18">
        <f t="shared" si="68"/>
        <v>633.09999999999991</v>
      </c>
      <c r="Q36" s="19">
        <f t="shared" si="69"/>
        <v>-9.9999999999909051E-2</v>
      </c>
      <c r="R36">
        <v>567.4</v>
      </c>
      <c r="S36">
        <v>11.8</v>
      </c>
      <c r="T36">
        <v>20</v>
      </c>
      <c r="U36">
        <v>33.9</v>
      </c>
      <c r="V36">
        <v>2424.8000000000002</v>
      </c>
      <c r="W36">
        <v>7191.3</v>
      </c>
      <c r="X36">
        <v>1044.0999999999999</v>
      </c>
      <c r="Y36">
        <v>12576</v>
      </c>
      <c r="Z36">
        <v>51465</v>
      </c>
      <c r="AA36">
        <v>1511.9</v>
      </c>
      <c r="AB36">
        <v>1538</v>
      </c>
      <c r="AC36">
        <v>628.4</v>
      </c>
      <c r="AD36">
        <v>5354.3</v>
      </c>
      <c r="AE36">
        <v>995623</v>
      </c>
      <c r="AF36" s="18">
        <f t="shared" si="70"/>
        <v>995623</v>
      </c>
      <c r="AG36" s="19">
        <f t="shared" si="71"/>
        <v>0</v>
      </c>
      <c r="AH36">
        <v>145224</v>
      </c>
      <c r="AI36">
        <v>327910</v>
      </c>
      <c r="AJ36">
        <v>390784</v>
      </c>
      <c r="AK36">
        <v>92298</v>
      </c>
      <c r="AL36">
        <v>39407</v>
      </c>
      <c r="AM36">
        <v>6679.2</v>
      </c>
      <c r="AN36">
        <v>251.9</v>
      </c>
      <c r="AO36" s="18">
        <f t="shared" si="72"/>
        <v>251.9</v>
      </c>
      <c r="AP36" s="18">
        <f t="shared" si="73"/>
        <v>0</v>
      </c>
      <c r="AQ36">
        <v>105.8</v>
      </c>
      <c r="AR36">
        <v>55.6</v>
      </c>
      <c r="AS36">
        <v>24.4</v>
      </c>
      <c r="AT36">
        <v>66.099999999999994</v>
      </c>
      <c r="AU36">
        <v>9526</v>
      </c>
      <c r="AV36" s="18">
        <f t="shared" si="74"/>
        <v>9526</v>
      </c>
      <c r="AW36" s="24">
        <f t="shared" si="75"/>
        <v>0</v>
      </c>
      <c r="AX36">
        <v>1655</v>
      </c>
      <c r="AY36">
        <v>6226</v>
      </c>
      <c r="AZ36">
        <v>771</v>
      </c>
      <c r="BA36">
        <v>132</v>
      </c>
      <c r="BB36">
        <v>742</v>
      </c>
      <c r="BC36">
        <v>108805</v>
      </c>
      <c r="BD36" s="18">
        <f t="shared" si="76"/>
        <v>108805</v>
      </c>
      <c r="BE36" s="19">
        <f t="shared" si="77"/>
        <v>0</v>
      </c>
      <c r="BF36">
        <v>10463</v>
      </c>
      <c r="BG36">
        <v>81210</v>
      </c>
      <c r="BH36">
        <v>5119</v>
      </c>
      <c r="BI36">
        <v>20</v>
      </c>
      <c r="BJ36">
        <v>11993</v>
      </c>
      <c r="BK36">
        <v>19112</v>
      </c>
      <c r="BL36" s="18">
        <f t="shared" si="78"/>
        <v>18958</v>
      </c>
      <c r="BM36" s="19">
        <f t="shared" si="79"/>
        <v>154</v>
      </c>
      <c r="BN36">
        <v>1009</v>
      </c>
      <c r="BO36" s="18">
        <f t="shared" si="80"/>
        <v>948</v>
      </c>
      <c r="BP36" s="19">
        <f t="shared" si="81"/>
        <v>61</v>
      </c>
      <c r="BQ36">
        <v>739</v>
      </c>
      <c r="BR36">
        <v>83</v>
      </c>
      <c r="BS36" s="30">
        <v>126</v>
      </c>
      <c r="BT36">
        <v>17713</v>
      </c>
      <c r="BU36" s="18">
        <f t="shared" si="82"/>
        <v>17712</v>
      </c>
      <c r="BV36" s="19">
        <f t="shared" si="83"/>
        <v>1</v>
      </c>
      <c r="BW36">
        <v>1357</v>
      </c>
      <c r="BX36" s="13">
        <v>924</v>
      </c>
      <c r="BY36">
        <v>9526</v>
      </c>
      <c r="BZ36">
        <v>5905</v>
      </c>
      <c r="CA36">
        <v>367</v>
      </c>
      <c r="CB36" s="18">
        <f t="shared" si="84"/>
        <v>298</v>
      </c>
      <c r="CC36" s="19">
        <f t="shared" si="85"/>
        <v>69</v>
      </c>
      <c r="CD36">
        <v>172</v>
      </c>
      <c r="CE36">
        <v>3</v>
      </c>
      <c r="CF36">
        <v>105</v>
      </c>
      <c r="CG36">
        <v>18</v>
      </c>
      <c r="CH36">
        <v>704744</v>
      </c>
      <c r="CI36">
        <v>23707</v>
      </c>
      <c r="CJ36">
        <v>61355</v>
      </c>
      <c r="CK36">
        <v>6294</v>
      </c>
      <c r="CL36">
        <v>26</v>
      </c>
      <c r="CM36">
        <v>870</v>
      </c>
      <c r="CN36">
        <v>157</v>
      </c>
      <c r="CO36">
        <v>368</v>
      </c>
    </row>
  </sheetData>
  <mergeCells count="8">
    <mergeCell ref="AE1:AL1"/>
    <mergeCell ref="CH1:CO1"/>
    <mergeCell ref="AM1:AT1"/>
    <mergeCell ref="B1:H1"/>
    <mergeCell ref="AU1:BB1"/>
    <mergeCell ref="I1:V1"/>
    <mergeCell ref="BC1:BJ1"/>
    <mergeCell ref="BK1:CG1"/>
  </mergeCells>
  <phoneticPr fontId="7" type="noConversion"/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activeCell="F32" sqref="F32"/>
    </sheetView>
  </sheetViews>
  <sheetFormatPr defaultColWidth="9" defaultRowHeight="14.4"/>
  <sheetData>
    <row r="1" spans="1:1" ht="15.6">
      <c r="A1" s="1" t="s">
        <v>102</v>
      </c>
    </row>
    <row r="3" spans="1:1" ht="15.6">
      <c r="A3" s="1" t="s">
        <v>103</v>
      </c>
    </row>
    <row r="5" spans="1:1" ht="15.6">
      <c r="A5" s="2" t="s">
        <v>104</v>
      </c>
    </row>
    <row r="6" spans="1:1" ht="15.6">
      <c r="A6" s="2" t="s">
        <v>105</v>
      </c>
    </row>
    <row r="7" spans="1:1" ht="15.6">
      <c r="A7" s="2" t="s">
        <v>106</v>
      </c>
    </row>
    <row r="8" spans="1:1" ht="15.6">
      <c r="A8" s="2" t="s">
        <v>107</v>
      </c>
    </row>
    <row r="9" spans="1:1" ht="15.6">
      <c r="A9" s="2" t="s">
        <v>108</v>
      </c>
    </row>
    <row r="10" spans="1:1" ht="15.6">
      <c r="A10" s="2" t="s">
        <v>109</v>
      </c>
    </row>
    <row r="11" spans="1:1" ht="15.6">
      <c r="A11" s="2" t="s">
        <v>110</v>
      </c>
    </row>
    <row r="12" spans="1:1" ht="15.6">
      <c r="A12" s="2" t="s">
        <v>111</v>
      </c>
    </row>
    <row r="13" spans="1:1" ht="15.6">
      <c r="A13" s="2" t="s">
        <v>112</v>
      </c>
    </row>
    <row r="15" spans="1:1" ht="15.6">
      <c r="A15" s="2" t="s">
        <v>113</v>
      </c>
    </row>
    <row r="16" spans="1:1" ht="15.6">
      <c r="A16" s="2" t="s">
        <v>114</v>
      </c>
    </row>
    <row r="17" spans="1:1" ht="15.6">
      <c r="A17" s="2" t="s">
        <v>115</v>
      </c>
    </row>
    <row r="18" spans="1:1" ht="17.399999999999999">
      <c r="A18" s="3" t="s">
        <v>116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51C5-E955-434B-B458-5B4BF9185C60}">
  <dimension ref="A1:BS35"/>
  <sheetViews>
    <sheetView topLeftCell="C1" workbookViewId="0">
      <selection activeCell="G24" sqref="G24"/>
    </sheetView>
  </sheetViews>
  <sheetFormatPr defaultColWidth="8.44140625" defaultRowHeight="14.4"/>
  <cols>
    <col min="1" max="1" width="4.44140625" customWidth="1"/>
    <col min="2" max="2" width="16.5546875" customWidth="1"/>
    <col min="3" max="8" width="13.88671875" customWidth="1"/>
    <col min="9" max="9" width="16.109375" customWidth="1"/>
    <col min="10" max="10" width="13.88671875" customWidth="1"/>
    <col min="11" max="11" width="16.109375" customWidth="1"/>
    <col min="12" max="13" width="13.88671875" customWidth="1"/>
    <col min="14" max="14" width="15.44140625" customWidth="1"/>
    <col min="15" max="22" width="13.88671875" customWidth="1"/>
    <col min="23" max="23" width="19.33203125" customWidth="1"/>
    <col min="24" max="24" width="13.88671875" customWidth="1"/>
    <col min="25" max="25" width="16.44140625" customWidth="1"/>
    <col min="26" max="26" width="13.109375" customWidth="1"/>
    <col min="27" max="71" width="13.88671875" customWidth="1"/>
  </cols>
  <sheetData>
    <row r="1" spans="1:71" s="4" customFormat="1" ht="98.4" customHeight="1">
      <c r="B1" s="5" t="s">
        <v>117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36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</row>
    <row r="2" spans="1:71" s="4" customFormat="1" ht="98.4" customHeight="1">
      <c r="B2" s="6" t="s">
        <v>118</v>
      </c>
      <c r="C2" s="6" t="s">
        <v>119</v>
      </c>
      <c r="D2" s="6" t="s">
        <v>120</v>
      </c>
      <c r="E2" s="6" t="s">
        <v>121</v>
      </c>
      <c r="F2" s="6" t="s">
        <v>122</v>
      </c>
      <c r="G2" s="5" t="s">
        <v>123</v>
      </c>
      <c r="H2" s="6" t="s">
        <v>124</v>
      </c>
      <c r="I2" s="6" t="s">
        <v>125</v>
      </c>
      <c r="J2" s="6" t="s">
        <v>126</v>
      </c>
      <c r="K2" s="6" t="s">
        <v>127</v>
      </c>
      <c r="L2" s="6" t="s">
        <v>135</v>
      </c>
      <c r="M2" s="6" t="s">
        <v>136</v>
      </c>
      <c r="N2" s="6" t="s">
        <v>137</v>
      </c>
      <c r="O2" s="6" t="s">
        <v>138</v>
      </c>
      <c r="P2" s="6" t="s">
        <v>139</v>
      </c>
      <c r="Q2" s="6" t="s">
        <v>140</v>
      </c>
      <c r="R2" s="6" t="s">
        <v>141</v>
      </c>
      <c r="S2" s="6" t="s">
        <v>142</v>
      </c>
      <c r="T2" s="6" t="s">
        <v>143</v>
      </c>
      <c r="U2" s="6" t="s">
        <v>144</v>
      </c>
      <c r="V2" s="6" t="s">
        <v>145</v>
      </c>
      <c r="W2" s="6" t="s">
        <v>146</v>
      </c>
      <c r="X2" s="6" t="s">
        <v>147</v>
      </c>
      <c r="Y2" s="6" t="s">
        <v>148</v>
      </c>
      <c r="Z2" s="6" t="s">
        <v>149</v>
      </c>
      <c r="AA2" s="6" t="s">
        <v>151</v>
      </c>
      <c r="AB2" s="6" t="s">
        <v>152</v>
      </c>
      <c r="AC2" s="6" t="s">
        <v>153</v>
      </c>
      <c r="AD2" s="6" t="s">
        <v>154</v>
      </c>
      <c r="AE2" s="6" t="s">
        <v>155</v>
      </c>
      <c r="AF2" s="6" t="s">
        <v>156</v>
      </c>
      <c r="AG2" s="6" t="s">
        <v>157</v>
      </c>
      <c r="AH2" s="6" t="s">
        <v>158</v>
      </c>
      <c r="AI2" s="6" t="s">
        <v>159</v>
      </c>
      <c r="AJ2" s="6" t="s">
        <v>160</v>
      </c>
      <c r="AK2" s="6" t="s">
        <v>161</v>
      </c>
      <c r="AL2" s="6" t="s">
        <v>162</v>
      </c>
      <c r="AM2" s="7" t="s">
        <v>163</v>
      </c>
      <c r="AN2" s="7" t="s">
        <v>164</v>
      </c>
      <c r="AO2" s="7" t="s">
        <v>165</v>
      </c>
      <c r="AP2" s="7" t="s">
        <v>166</v>
      </c>
      <c r="AQ2" s="7" t="s">
        <v>167</v>
      </c>
      <c r="AR2" s="6" t="s">
        <v>168</v>
      </c>
      <c r="AS2" s="8" t="s">
        <v>169</v>
      </c>
      <c r="AT2" s="4" t="s">
        <v>44</v>
      </c>
      <c r="AU2" s="4" t="s">
        <v>45</v>
      </c>
      <c r="AV2" s="4" t="s">
        <v>46</v>
      </c>
      <c r="AW2" s="4" t="s">
        <v>47</v>
      </c>
      <c r="AX2" s="4" t="s">
        <v>48</v>
      </c>
      <c r="AY2" s="4" t="s">
        <v>49</v>
      </c>
      <c r="AZ2" s="4" t="s">
        <v>50</v>
      </c>
      <c r="BA2" s="4" t="s">
        <v>51</v>
      </c>
      <c r="BB2" s="4" t="s">
        <v>52</v>
      </c>
      <c r="BC2" s="4" t="s">
        <v>53</v>
      </c>
      <c r="BD2" s="4" t="s">
        <v>54</v>
      </c>
      <c r="BE2" s="4" t="s">
        <v>36</v>
      </c>
      <c r="BF2" s="4" t="s">
        <v>55</v>
      </c>
      <c r="BG2" s="4" t="s">
        <v>56</v>
      </c>
      <c r="BH2" s="4" t="s">
        <v>57</v>
      </c>
      <c r="BI2" s="4" t="s">
        <v>58</v>
      </c>
      <c r="BJ2" s="5" t="s">
        <v>172</v>
      </c>
      <c r="BK2" s="6" t="s">
        <v>170</v>
      </c>
      <c r="BL2" s="6" t="s">
        <v>171</v>
      </c>
      <c r="BM2" s="6" t="s">
        <v>134</v>
      </c>
      <c r="BN2" s="6" t="s">
        <v>133</v>
      </c>
      <c r="BO2" s="5" t="s">
        <v>132</v>
      </c>
      <c r="BP2" s="6" t="s">
        <v>131</v>
      </c>
      <c r="BQ2" s="6" t="s">
        <v>130</v>
      </c>
      <c r="BR2" s="6" t="s">
        <v>129</v>
      </c>
      <c r="BS2" s="6" t="s">
        <v>128</v>
      </c>
    </row>
    <row r="3" spans="1:71" s="4" customFormat="1" ht="98.4" customHeight="1">
      <c r="B3" s="9" t="s">
        <v>173</v>
      </c>
      <c r="C3" s="9" t="s">
        <v>174</v>
      </c>
      <c r="D3" s="9" t="s">
        <v>175</v>
      </c>
      <c r="E3" s="9" t="s">
        <v>176</v>
      </c>
      <c r="F3" s="9" t="s">
        <v>177</v>
      </c>
      <c r="G3" s="9" t="s">
        <v>178</v>
      </c>
      <c r="H3" s="9" t="s">
        <v>179</v>
      </c>
      <c r="I3" s="9" t="s">
        <v>180</v>
      </c>
      <c r="J3" s="9" t="s">
        <v>181</v>
      </c>
      <c r="K3" s="9" t="s">
        <v>182</v>
      </c>
      <c r="L3" s="9" t="s">
        <v>183</v>
      </c>
      <c r="M3" s="9" t="s">
        <v>184</v>
      </c>
      <c r="N3" s="9" t="s">
        <v>185</v>
      </c>
      <c r="O3" s="9" t="s">
        <v>186</v>
      </c>
      <c r="P3" s="9" t="s">
        <v>187</v>
      </c>
      <c r="Q3" s="9" t="s">
        <v>188</v>
      </c>
      <c r="R3" s="9" t="s">
        <v>189</v>
      </c>
      <c r="S3" s="9" t="s">
        <v>190</v>
      </c>
      <c r="T3" s="9" t="s">
        <v>191</v>
      </c>
      <c r="U3" s="9" t="s">
        <v>192</v>
      </c>
      <c r="V3" s="9" t="s">
        <v>193</v>
      </c>
      <c r="W3" s="9" t="s">
        <v>194</v>
      </c>
      <c r="X3" s="9" t="s">
        <v>195</v>
      </c>
      <c r="Y3" s="9" t="s">
        <v>196</v>
      </c>
      <c r="Z3" s="9" t="s">
        <v>197</v>
      </c>
      <c r="AA3" s="9" t="s">
        <v>150</v>
      </c>
      <c r="AB3" s="9" t="s">
        <v>198</v>
      </c>
      <c r="AC3" s="9" t="s">
        <v>199</v>
      </c>
      <c r="AD3" s="9" t="s">
        <v>200</v>
      </c>
      <c r="AE3" s="9" t="s">
        <v>201</v>
      </c>
      <c r="AF3" s="9" t="s">
        <v>202</v>
      </c>
      <c r="AG3" s="9" t="s">
        <v>203</v>
      </c>
      <c r="AH3" s="9" t="s">
        <v>204</v>
      </c>
      <c r="AI3" s="9" t="s">
        <v>205</v>
      </c>
      <c r="AJ3" s="9" t="s">
        <v>206</v>
      </c>
      <c r="AK3" s="9" t="s">
        <v>207</v>
      </c>
      <c r="AL3" s="9" t="s">
        <v>208</v>
      </c>
      <c r="AM3" s="9" t="s">
        <v>209</v>
      </c>
      <c r="AN3" s="9" t="s">
        <v>210</v>
      </c>
      <c r="AO3" s="9" t="s">
        <v>211</v>
      </c>
      <c r="AP3" s="9" t="s">
        <v>212</v>
      </c>
      <c r="AQ3" s="9" t="s">
        <v>213</v>
      </c>
      <c r="AR3" s="9" t="s">
        <v>214</v>
      </c>
      <c r="AS3" s="9" t="s">
        <v>215</v>
      </c>
      <c r="AT3" s="9" t="s">
        <v>216</v>
      </c>
      <c r="AU3" s="9" t="s">
        <v>217</v>
      </c>
      <c r="AV3" s="9" t="s">
        <v>218</v>
      </c>
      <c r="AW3" s="9" t="s">
        <v>219</v>
      </c>
      <c r="AX3" s="9" t="s">
        <v>220</v>
      </c>
      <c r="AY3" s="9" t="s">
        <v>221</v>
      </c>
      <c r="AZ3" s="9" t="s">
        <v>222</v>
      </c>
      <c r="BJ3" s="5"/>
      <c r="BK3" s="6"/>
      <c r="BL3" s="6"/>
      <c r="BM3" s="6"/>
      <c r="BN3" s="6"/>
      <c r="BO3" s="5"/>
      <c r="BP3" s="6"/>
      <c r="BQ3" s="6"/>
      <c r="BR3" s="6"/>
      <c r="BS3" s="6"/>
    </row>
    <row r="4" spans="1:71">
      <c r="A4">
        <v>1</v>
      </c>
      <c r="B4" t="s">
        <v>69</v>
      </c>
      <c r="C4">
        <v>31123</v>
      </c>
      <c r="D4">
        <v>29895.599999999999</v>
      </c>
      <c r="E4">
        <v>8679.2000000000007</v>
      </c>
      <c r="F4">
        <v>1227.4000000000001</v>
      </c>
      <c r="G4">
        <v>2208.9</v>
      </c>
      <c r="H4">
        <v>5928</v>
      </c>
      <c r="I4">
        <v>4892.3999999999996</v>
      </c>
      <c r="J4">
        <v>784</v>
      </c>
      <c r="K4">
        <v>251.6</v>
      </c>
      <c r="L4">
        <v>5928</v>
      </c>
      <c r="M4">
        <v>3648.4</v>
      </c>
      <c r="N4">
        <v>971</v>
      </c>
      <c r="O4">
        <v>926.8</v>
      </c>
      <c r="P4">
        <v>381.8</v>
      </c>
      <c r="Q4">
        <v>420.7</v>
      </c>
      <c r="R4">
        <v>128608.8</v>
      </c>
      <c r="S4">
        <v>19610.900000000001</v>
      </c>
      <c r="T4">
        <v>283695.7</v>
      </c>
      <c r="U4">
        <v>263215.7</v>
      </c>
      <c r="V4">
        <v>23519.8</v>
      </c>
      <c r="W4">
        <v>36103.699999999997</v>
      </c>
      <c r="X4">
        <v>10429.1</v>
      </c>
      <c r="Y4">
        <v>36264.800000000003</v>
      </c>
      <c r="Z4">
        <v>52100170</v>
      </c>
      <c r="AA4">
        <v>4789427</v>
      </c>
      <c r="AB4">
        <v>5511287</v>
      </c>
      <c r="AC4">
        <v>29090366</v>
      </c>
      <c r="AD4">
        <v>8674601</v>
      </c>
      <c r="AE4">
        <v>4034489</v>
      </c>
      <c r="AF4">
        <v>72431.7</v>
      </c>
      <c r="AG4">
        <v>4988.2</v>
      </c>
      <c r="AH4">
        <v>1563.9</v>
      </c>
      <c r="AI4">
        <v>517.20000000000005</v>
      </c>
      <c r="AJ4">
        <v>468.4</v>
      </c>
      <c r="AK4">
        <v>2438.6999999999998</v>
      </c>
      <c r="AL4">
        <v>570410</v>
      </c>
      <c r="AM4">
        <v>337486</v>
      </c>
      <c r="AN4">
        <v>71246</v>
      </c>
      <c r="AO4">
        <v>22880</v>
      </c>
      <c r="AP4">
        <v>90027</v>
      </c>
      <c r="AQ4">
        <v>48771</v>
      </c>
      <c r="AR4">
        <v>4797647</v>
      </c>
      <c r="AS4">
        <v>744753</v>
      </c>
      <c r="AT4">
        <v>3231676</v>
      </c>
      <c r="AU4">
        <v>194667</v>
      </c>
      <c r="AV4">
        <v>3856</v>
      </c>
      <c r="AW4">
        <v>622696</v>
      </c>
      <c r="AX4">
        <v>1093551</v>
      </c>
      <c r="AY4">
        <v>38710</v>
      </c>
      <c r="AZ4">
        <v>20257</v>
      </c>
      <c r="BA4">
        <v>5263</v>
      </c>
      <c r="BB4">
        <v>1040023</v>
      </c>
      <c r="BC4">
        <v>37301</v>
      </c>
      <c r="BD4">
        <v>33334</v>
      </c>
      <c r="BE4">
        <v>570410</v>
      </c>
      <c r="BF4">
        <v>398464</v>
      </c>
      <c r="BG4">
        <v>10547</v>
      </c>
      <c r="BH4">
        <v>3439</v>
      </c>
      <c r="BI4">
        <v>791</v>
      </c>
      <c r="BJ4">
        <v>3073</v>
      </c>
      <c r="BK4">
        <v>1309</v>
      </c>
      <c r="BL4">
        <v>27998827</v>
      </c>
      <c r="BM4">
        <v>1058761</v>
      </c>
      <c r="BN4">
        <v>3248476</v>
      </c>
      <c r="BO4">
        <v>390481</v>
      </c>
      <c r="BP4">
        <v>1564</v>
      </c>
      <c r="BQ4">
        <v>47846</v>
      </c>
      <c r="BR4">
        <v>22840</v>
      </c>
      <c r="BS4">
        <v>37783</v>
      </c>
    </row>
    <row r="5" spans="1:71">
      <c r="A5">
        <v>2</v>
      </c>
      <c r="B5" t="s">
        <v>70</v>
      </c>
      <c r="C5">
        <v>52.9</v>
      </c>
      <c r="D5">
        <v>24.5</v>
      </c>
      <c r="E5">
        <v>42</v>
      </c>
      <c r="F5">
        <v>28.4</v>
      </c>
      <c r="G5">
        <v>242.2</v>
      </c>
      <c r="H5">
        <v>42.1</v>
      </c>
      <c r="I5">
        <v>16.7</v>
      </c>
      <c r="J5">
        <v>12.2</v>
      </c>
      <c r="K5">
        <v>13.2</v>
      </c>
      <c r="L5">
        <v>42.1</v>
      </c>
      <c r="M5">
        <v>2.4</v>
      </c>
      <c r="N5">
        <v>2.8</v>
      </c>
      <c r="O5">
        <v>19.3</v>
      </c>
      <c r="P5">
        <v>17.600000000000001</v>
      </c>
      <c r="Q5">
        <v>192.7</v>
      </c>
      <c r="R5">
        <v>130.69999999999999</v>
      </c>
      <c r="S5">
        <v>105.3</v>
      </c>
      <c r="T5">
        <v>963.2</v>
      </c>
      <c r="U5">
        <v>16.100000000000001</v>
      </c>
      <c r="V5">
        <v>3</v>
      </c>
      <c r="W5">
        <v>295.8</v>
      </c>
      <c r="X5">
        <v>52.2</v>
      </c>
      <c r="Y5">
        <v>63.7</v>
      </c>
      <c r="Z5">
        <v>1860629</v>
      </c>
      <c r="AA5">
        <v>197424</v>
      </c>
      <c r="AB5">
        <v>245789</v>
      </c>
      <c r="AC5">
        <v>569118</v>
      </c>
      <c r="AD5">
        <v>630811</v>
      </c>
      <c r="AE5">
        <v>217487</v>
      </c>
      <c r="AF5">
        <v>120.6</v>
      </c>
      <c r="AG5">
        <v>6.7</v>
      </c>
      <c r="AH5">
        <v>1.7</v>
      </c>
      <c r="AI5">
        <v>0.2</v>
      </c>
      <c r="AJ5">
        <v>0.3</v>
      </c>
      <c r="AK5">
        <v>4.4000000000000004</v>
      </c>
      <c r="AL5">
        <v>2552</v>
      </c>
      <c r="AM5">
        <v>2327</v>
      </c>
      <c r="AN5">
        <v>74</v>
      </c>
      <c r="AO5">
        <v>1</v>
      </c>
      <c r="AP5">
        <v>142</v>
      </c>
      <c r="AQ5">
        <v>8</v>
      </c>
      <c r="AR5">
        <v>4658</v>
      </c>
      <c r="AS5">
        <v>1055</v>
      </c>
      <c r="AT5">
        <v>3595</v>
      </c>
      <c r="AU5" t="s">
        <v>71</v>
      </c>
      <c r="AV5" t="s">
        <v>71</v>
      </c>
      <c r="AW5">
        <v>8</v>
      </c>
      <c r="AX5">
        <v>11273</v>
      </c>
      <c r="AY5">
        <v>682</v>
      </c>
      <c r="AZ5">
        <v>197</v>
      </c>
      <c r="BA5">
        <v>210</v>
      </c>
      <c r="BB5">
        <v>10290</v>
      </c>
      <c r="BC5">
        <v>2016</v>
      </c>
      <c r="BD5">
        <v>2552</v>
      </c>
      <c r="BE5">
        <v>2552</v>
      </c>
      <c r="BF5">
        <v>5722</v>
      </c>
      <c r="BG5">
        <v>95</v>
      </c>
      <c r="BH5">
        <v>29</v>
      </c>
      <c r="BI5">
        <v>16</v>
      </c>
      <c r="BJ5">
        <v>18</v>
      </c>
      <c r="BK5">
        <v>17</v>
      </c>
      <c r="BL5">
        <v>114599</v>
      </c>
      <c r="BM5">
        <v>9356</v>
      </c>
      <c r="BN5">
        <v>23650</v>
      </c>
      <c r="BO5">
        <v>1185</v>
      </c>
      <c r="BP5">
        <v>4</v>
      </c>
      <c r="BQ5">
        <v>131</v>
      </c>
      <c r="BR5">
        <v>19</v>
      </c>
      <c r="BS5">
        <v>54</v>
      </c>
    </row>
    <row r="6" spans="1:71">
      <c r="A6">
        <v>3</v>
      </c>
      <c r="B6" t="s">
        <v>72</v>
      </c>
      <c r="C6">
        <v>25.2</v>
      </c>
      <c r="D6">
        <v>16.899999999999999</v>
      </c>
      <c r="E6">
        <v>9.6999999999999993</v>
      </c>
      <c r="F6">
        <v>8.3000000000000007</v>
      </c>
      <c r="G6">
        <v>184.8</v>
      </c>
      <c r="H6">
        <v>32</v>
      </c>
      <c r="I6">
        <v>22.7</v>
      </c>
      <c r="J6">
        <v>2.5</v>
      </c>
      <c r="K6">
        <v>6.7</v>
      </c>
      <c r="L6">
        <v>32</v>
      </c>
      <c r="M6">
        <v>8.8000000000000007</v>
      </c>
      <c r="N6">
        <v>4.7</v>
      </c>
      <c r="O6">
        <v>7.3</v>
      </c>
      <c r="P6">
        <v>11.3</v>
      </c>
      <c r="Q6">
        <v>234.6</v>
      </c>
      <c r="R6">
        <v>336.7</v>
      </c>
      <c r="S6">
        <v>34.6</v>
      </c>
      <c r="T6">
        <v>145.5</v>
      </c>
      <c r="U6">
        <v>14.2</v>
      </c>
      <c r="V6">
        <v>32.9</v>
      </c>
      <c r="W6">
        <v>332.9</v>
      </c>
      <c r="X6">
        <v>47.4</v>
      </c>
      <c r="Y6">
        <v>234.6</v>
      </c>
      <c r="Z6">
        <v>257269</v>
      </c>
      <c r="AA6">
        <v>56338</v>
      </c>
      <c r="AB6">
        <v>28491</v>
      </c>
      <c r="AC6">
        <v>124691</v>
      </c>
      <c r="AD6">
        <v>47680</v>
      </c>
      <c r="AE6">
        <v>69</v>
      </c>
      <c r="AF6">
        <v>309.5</v>
      </c>
      <c r="AG6">
        <v>15.2</v>
      </c>
      <c r="AH6">
        <v>4.3</v>
      </c>
      <c r="AI6">
        <v>1.4</v>
      </c>
      <c r="AJ6">
        <v>1.1000000000000001</v>
      </c>
      <c r="AK6">
        <v>8.4</v>
      </c>
      <c r="AL6">
        <v>2315</v>
      </c>
      <c r="AM6">
        <v>549</v>
      </c>
      <c r="AN6">
        <v>847</v>
      </c>
      <c r="AO6">
        <v>202</v>
      </c>
      <c r="AP6">
        <v>132</v>
      </c>
      <c r="AQ6">
        <v>585</v>
      </c>
      <c r="AR6">
        <v>12807</v>
      </c>
      <c r="AS6">
        <v>31</v>
      </c>
      <c r="AT6">
        <v>7307</v>
      </c>
      <c r="AU6">
        <v>8</v>
      </c>
      <c r="AV6" t="s">
        <v>71</v>
      </c>
      <c r="AW6">
        <v>5461</v>
      </c>
      <c r="AX6">
        <v>6939</v>
      </c>
      <c r="AY6">
        <v>453</v>
      </c>
      <c r="AZ6">
        <v>276</v>
      </c>
      <c r="BA6">
        <v>63</v>
      </c>
      <c r="BB6">
        <v>6333</v>
      </c>
      <c r="BC6">
        <v>662</v>
      </c>
      <c r="BD6">
        <v>2315</v>
      </c>
      <c r="BE6">
        <v>2315</v>
      </c>
      <c r="BF6">
        <v>3220</v>
      </c>
      <c r="BG6">
        <v>68</v>
      </c>
      <c r="BH6">
        <v>20</v>
      </c>
      <c r="BI6">
        <v>3</v>
      </c>
      <c r="BJ6">
        <v>17</v>
      </c>
      <c r="BK6">
        <v>13</v>
      </c>
      <c r="BL6">
        <v>189195</v>
      </c>
      <c r="BM6">
        <v>6831</v>
      </c>
      <c r="BN6">
        <v>18242</v>
      </c>
      <c r="BO6">
        <v>2054</v>
      </c>
      <c r="BP6">
        <v>4</v>
      </c>
      <c r="BQ6">
        <v>23</v>
      </c>
      <c r="BR6">
        <v>50</v>
      </c>
      <c r="BS6">
        <v>199</v>
      </c>
    </row>
    <row r="7" spans="1:71">
      <c r="A7">
        <v>4</v>
      </c>
      <c r="B7" t="s">
        <v>73</v>
      </c>
      <c r="C7">
        <v>247.9</v>
      </c>
      <c r="D7">
        <v>140.80000000000001</v>
      </c>
      <c r="E7">
        <v>179.9</v>
      </c>
      <c r="F7">
        <v>107.2</v>
      </c>
      <c r="G7">
        <v>335.7</v>
      </c>
      <c r="H7">
        <v>189.8</v>
      </c>
      <c r="I7">
        <v>97.9</v>
      </c>
      <c r="J7">
        <v>73.2</v>
      </c>
      <c r="K7">
        <v>18.7</v>
      </c>
      <c r="L7">
        <v>189.8</v>
      </c>
      <c r="M7">
        <v>100.2</v>
      </c>
      <c r="N7">
        <v>16.2</v>
      </c>
      <c r="O7">
        <v>29.1</v>
      </c>
      <c r="P7">
        <v>44.3</v>
      </c>
      <c r="Q7">
        <v>257</v>
      </c>
      <c r="R7">
        <v>6088.4</v>
      </c>
      <c r="S7">
        <v>955.3</v>
      </c>
      <c r="T7">
        <v>6333.9</v>
      </c>
      <c r="U7">
        <v>1916.6</v>
      </c>
      <c r="V7">
        <v>135.9</v>
      </c>
      <c r="W7">
        <v>2163.8000000000002</v>
      </c>
      <c r="X7">
        <v>434.6</v>
      </c>
      <c r="Y7">
        <v>590.79999999999995</v>
      </c>
      <c r="Z7">
        <v>3233889</v>
      </c>
      <c r="AA7">
        <v>57234</v>
      </c>
      <c r="AB7">
        <v>714143</v>
      </c>
      <c r="AC7">
        <v>1789098</v>
      </c>
      <c r="AD7">
        <v>521281</v>
      </c>
      <c r="AE7">
        <v>152133</v>
      </c>
      <c r="AF7">
        <v>4123.2</v>
      </c>
      <c r="AG7">
        <v>263.39999999999998</v>
      </c>
      <c r="AH7">
        <v>85.7</v>
      </c>
      <c r="AI7">
        <v>18.8</v>
      </c>
      <c r="AJ7">
        <v>18.100000000000001</v>
      </c>
      <c r="AK7">
        <v>140.69999999999999</v>
      </c>
      <c r="AL7">
        <v>58222</v>
      </c>
      <c r="AM7">
        <v>35253</v>
      </c>
      <c r="AN7">
        <v>2632</v>
      </c>
      <c r="AO7">
        <v>1159</v>
      </c>
      <c r="AP7">
        <v>15401</v>
      </c>
      <c r="AQ7">
        <v>3777</v>
      </c>
      <c r="AR7">
        <v>289888</v>
      </c>
      <c r="AS7">
        <v>11375</v>
      </c>
      <c r="AT7">
        <v>250214</v>
      </c>
      <c r="AU7">
        <v>100</v>
      </c>
      <c r="AV7" t="s">
        <v>71</v>
      </c>
      <c r="AW7">
        <v>28199</v>
      </c>
      <c r="AX7">
        <v>93648</v>
      </c>
      <c r="AY7">
        <v>2528</v>
      </c>
      <c r="AZ7">
        <v>1594</v>
      </c>
      <c r="BA7">
        <v>327</v>
      </c>
      <c r="BB7">
        <v>90464</v>
      </c>
      <c r="BC7">
        <v>1680</v>
      </c>
      <c r="BD7">
        <v>58222</v>
      </c>
      <c r="BE7">
        <v>58222</v>
      </c>
      <c r="BF7">
        <v>28597</v>
      </c>
      <c r="BG7">
        <v>515</v>
      </c>
      <c r="BH7">
        <v>188</v>
      </c>
      <c r="BI7">
        <v>13</v>
      </c>
      <c r="BJ7">
        <v>184</v>
      </c>
      <c r="BK7">
        <v>78</v>
      </c>
      <c r="BL7">
        <v>1536069</v>
      </c>
      <c r="BM7">
        <v>42970</v>
      </c>
      <c r="BN7">
        <v>131062</v>
      </c>
      <c r="BO7">
        <v>16123</v>
      </c>
      <c r="BP7">
        <v>101</v>
      </c>
      <c r="BQ7">
        <v>6786</v>
      </c>
      <c r="BR7">
        <v>3504</v>
      </c>
      <c r="BS7">
        <v>817</v>
      </c>
    </row>
    <row r="8" spans="1:71">
      <c r="A8">
        <v>5</v>
      </c>
      <c r="B8" t="s">
        <v>74</v>
      </c>
      <c r="C8">
        <v>115</v>
      </c>
      <c r="D8">
        <v>73.5</v>
      </c>
      <c r="E8">
        <v>94.1</v>
      </c>
      <c r="F8">
        <v>41.5</v>
      </c>
      <c r="G8">
        <v>332.8</v>
      </c>
      <c r="H8">
        <v>70</v>
      </c>
      <c r="I8">
        <v>36.299999999999997</v>
      </c>
      <c r="J8">
        <v>26.9</v>
      </c>
      <c r="K8">
        <v>6.8</v>
      </c>
      <c r="L8">
        <v>70</v>
      </c>
      <c r="M8">
        <v>36.5</v>
      </c>
      <c r="N8">
        <v>11.3</v>
      </c>
      <c r="O8">
        <v>15.7</v>
      </c>
      <c r="P8">
        <v>6.6</v>
      </c>
      <c r="Q8">
        <v>202.5</v>
      </c>
      <c r="R8">
        <v>3893.5</v>
      </c>
      <c r="S8">
        <v>622.9</v>
      </c>
      <c r="T8">
        <v>6099</v>
      </c>
      <c r="U8">
        <v>3046.6</v>
      </c>
      <c r="V8">
        <v>49.1</v>
      </c>
      <c r="W8">
        <v>1029.5999999999999</v>
      </c>
      <c r="X8">
        <v>297.3</v>
      </c>
      <c r="Y8">
        <v>177.9</v>
      </c>
      <c r="Z8">
        <v>987543</v>
      </c>
      <c r="AA8">
        <v>63867</v>
      </c>
      <c r="AB8">
        <v>404368</v>
      </c>
      <c r="AC8">
        <v>433207</v>
      </c>
      <c r="AD8">
        <v>47453</v>
      </c>
      <c r="AE8">
        <v>38648</v>
      </c>
      <c r="AF8">
        <v>1530.9</v>
      </c>
      <c r="AG8">
        <v>103.8</v>
      </c>
      <c r="AH8">
        <v>17</v>
      </c>
      <c r="AI8">
        <v>7.5</v>
      </c>
      <c r="AJ8">
        <v>6.8</v>
      </c>
      <c r="AK8">
        <v>72.5</v>
      </c>
      <c r="AL8">
        <v>21703</v>
      </c>
      <c r="AM8">
        <v>15409</v>
      </c>
      <c r="AN8">
        <v>818</v>
      </c>
      <c r="AO8">
        <v>566</v>
      </c>
      <c r="AP8">
        <v>1936</v>
      </c>
      <c r="AQ8">
        <v>2974</v>
      </c>
      <c r="AR8">
        <v>73552</v>
      </c>
      <c r="AS8">
        <v>3632</v>
      </c>
      <c r="AT8">
        <v>9378</v>
      </c>
      <c r="AU8">
        <v>6101</v>
      </c>
      <c r="AV8">
        <v>189</v>
      </c>
      <c r="AW8">
        <v>54251</v>
      </c>
      <c r="AX8">
        <v>38415</v>
      </c>
      <c r="AY8">
        <v>1373</v>
      </c>
      <c r="AZ8">
        <v>618</v>
      </c>
      <c r="BA8">
        <v>222</v>
      </c>
      <c r="BB8">
        <v>36645</v>
      </c>
      <c r="BC8">
        <v>1114</v>
      </c>
      <c r="BD8">
        <v>21703</v>
      </c>
      <c r="BE8">
        <v>21703</v>
      </c>
      <c r="BF8">
        <v>12378</v>
      </c>
      <c r="BG8">
        <v>339</v>
      </c>
      <c r="BH8">
        <v>132</v>
      </c>
      <c r="BI8">
        <v>7</v>
      </c>
      <c r="BJ8">
        <v>129</v>
      </c>
      <c r="BK8">
        <v>25</v>
      </c>
      <c r="BL8">
        <v>793400</v>
      </c>
      <c r="BM8">
        <v>23752</v>
      </c>
      <c r="BN8">
        <v>66154</v>
      </c>
      <c r="BO8">
        <v>9288</v>
      </c>
      <c r="BP8">
        <v>24</v>
      </c>
      <c r="BQ8">
        <v>2713</v>
      </c>
      <c r="BR8">
        <v>2215</v>
      </c>
      <c r="BS8">
        <v>837</v>
      </c>
    </row>
    <row r="9" spans="1:71">
      <c r="A9">
        <v>6</v>
      </c>
      <c r="B9" t="s">
        <v>75</v>
      </c>
      <c r="C9">
        <v>581.1</v>
      </c>
      <c r="D9">
        <v>399.7</v>
      </c>
      <c r="E9">
        <v>259.8</v>
      </c>
      <c r="F9">
        <v>181.4</v>
      </c>
      <c r="G9">
        <v>2429.3000000000002</v>
      </c>
      <c r="H9">
        <v>189.9</v>
      </c>
      <c r="I9">
        <v>85.1</v>
      </c>
      <c r="J9">
        <v>95.9</v>
      </c>
      <c r="K9">
        <v>8.9</v>
      </c>
      <c r="L9">
        <v>189.9</v>
      </c>
      <c r="M9">
        <v>138.5</v>
      </c>
      <c r="N9">
        <v>16.7</v>
      </c>
      <c r="O9">
        <v>11.3</v>
      </c>
      <c r="P9">
        <v>23.5</v>
      </c>
      <c r="Q9">
        <v>793.9</v>
      </c>
      <c r="R9">
        <v>11617.4</v>
      </c>
      <c r="S9">
        <v>49.2</v>
      </c>
      <c r="T9">
        <v>24355.599999999999</v>
      </c>
      <c r="U9">
        <v>53939.6</v>
      </c>
      <c r="V9">
        <v>3793</v>
      </c>
      <c r="W9">
        <v>1556.8</v>
      </c>
      <c r="X9">
        <v>829.8</v>
      </c>
      <c r="Y9">
        <v>1097.2</v>
      </c>
      <c r="Z9">
        <v>1508472</v>
      </c>
      <c r="AA9">
        <v>66357</v>
      </c>
      <c r="AB9">
        <v>876415</v>
      </c>
      <c r="AC9">
        <v>494014</v>
      </c>
      <c r="AD9">
        <v>32182</v>
      </c>
      <c r="AE9">
        <v>39504</v>
      </c>
      <c r="AF9">
        <v>4887.8</v>
      </c>
      <c r="AG9">
        <v>221.8</v>
      </c>
      <c r="AH9">
        <v>68.099999999999994</v>
      </c>
      <c r="AI9">
        <v>15</v>
      </c>
      <c r="AJ9">
        <v>15.4</v>
      </c>
      <c r="AK9">
        <v>123.3</v>
      </c>
      <c r="AL9">
        <v>12772</v>
      </c>
      <c r="AM9">
        <v>4591</v>
      </c>
      <c r="AN9">
        <v>3035</v>
      </c>
      <c r="AO9">
        <v>241</v>
      </c>
      <c r="AP9">
        <v>3586</v>
      </c>
      <c r="AQ9">
        <v>1319</v>
      </c>
      <c r="AR9">
        <v>193969</v>
      </c>
      <c r="AS9">
        <v>10610</v>
      </c>
      <c r="AT9">
        <v>127770</v>
      </c>
      <c r="AU9">
        <v>49038</v>
      </c>
      <c r="AV9">
        <v>21</v>
      </c>
      <c r="AW9">
        <v>6530</v>
      </c>
      <c r="AX9">
        <v>26768</v>
      </c>
      <c r="AY9">
        <v>861</v>
      </c>
      <c r="AZ9">
        <v>400</v>
      </c>
      <c r="BA9">
        <v>174</v>
      </c>
      <c r="BB9">
        <v>25480</v>
      </c>
      <c r="BC9">
        <v>1321</v>
      </c>
      <c r="BD9">
        <v>12772</v>
      </c>
      <c r="BE9">
        <v>12772</v>
      </c>
      <c r="BF9">
        <v>10170</v>
      </c>
      <c r="BG9">
        <v>351</v>
      </c>
      <c r="BH9">
        <v>118</v>
      </c>
      <c r="BI9">
        <v>7</v>
      </c>
      <c r="BJ9">
        <v>116</v>
      </c>
      <c r="BK9">
        <v>32</v>
      </c>
      <c r="BL9">
        <v>906870</v>
      </c>
      <c r="BM9">
        <v>21551</v>
      </c>
      <c r="BN9">
        <v>74325</v>
      </c>
      <c r="BO9">
        <v>5604</v>
      </c>
      <c r="BP9">
        <v>6</v>
      </c>
      <c r="BQ9">
        <v>186</v>
      </c>
      <c r="BR9">
        <v>95</v>
      </c>
      <c r="BS9">
        <v>101</v>
      </c>
    </row>
    <row r="10" spans="1:71">
      <c r="A10">
        <v>7</v>
      </c>
      <c r="B10" t="s">
        <v>76</v>
      </c>
      <c r="C10">
        <v>534.6</v>
      </c>
      <c r="D10">
        <v>482.6</v>
      </c>
      <c r="E10">
        <v>151.1</v>
      </c>
      <c r="F10">
        <v>52</v>
      </c>
      <c r="G10">
        <v>1282.5</v>
      </c>
      <c r="H10">
        <v>123.3</v>
      </c>
      <c r="I10">
        <v>73.7</v>
      </c>
      <c r="J10">
        <v>41.7</v>
      </c>
      <c r="K10">
        <v>7.8</v>
      </c>
      <c r="L10">
        <v>123.3</v>
      </c>
      <c r="M10">
        <v>71.900000000000006</v>
      </c>
      <c r="N10">
        <v>14.8</v>
      </c>
      <c r="O10">
        <v>26.4</v>
      </c>
      <c r="P10">
        <v>10.3</v>
      </c>
      <c r="Q10">
        <v>296.8</v>
      </c>
      <c r="R10">
        <v>5162.2</v>
      </c>
      <c r="S10">
        <v>525.9</v>
      </c>
      <c r="T10">
        <v>5985.5</v>
      </c>
      <c r="U10">
        <v>475.1</v>
      </c>
      <c r="V10">
        <v>294</v>
      </c>
      <c r="W10">
        <v>1347.3</v>
      </c>
      <c r="X10">
        <v>317</v>
      </c>
      <c r="Y10">
        <v>701.2</v>
      </c>
      <c r="Z10">
        <v>792526</v>
      </c>
      <c r="AA10">
        <v>278219</v>
      </c>
      <c r="AB10">
        <v>120929</v>
      </c>
      <c r="AC10">
        <v>359050</v>
      </c>
      <c r="AD10">
        <v>15159</v>
      </c>
      <c r="AE10">
        <v>19169</v>
      </c>
      <c r="AF10">
        <v>1739.8</v>
      </c>
      <c r="AG10">
        <v>129.1</v>
      </c>
      <c r="AH10">
        <v>38.9</v>
      </c>
      <c r="AI10">
        <v>7.6</v>
      </c>
      <c r="AJ10">
        <v>9.9</v>
      </c>
      <c r="AK10">
        <v>72.7</v>
      </c>
      <c r="AL10">
        <v>16455</v>
      </c>
      <c r="AM10">
        <v>7877</v>
      </c>
      <c r="AN10">
        <v>410</v>
      </c>
      <c r="AO10">
        <v>154</v>
      </c>
      <c r="AP10">
        <v>6915</v>
      </c>
      <c r="AQ10">
        <v>1099</v>
      </c>
      <c r="AR10">
        <v>178226</v>
      </c>
      <c r="AS10">
        <v>13466</v>
      </c>
      <c r="AT10">
        <v>143280</v>
      </c>
      <c r="AU10">
        <v>2426</v>
      </c>
      <c r="AV10">
        <v>98</v>
      </c>
      <c r="AW10">
        <v>18957</v>
      </c>
      <c r="AX10">
        <v>37137</v>
      </c>
      <c r="AY10">
        <v>1646</v>
      </c>
      <c r="AZ10">
        <v>837</v>
      </c>
      <c r="BA10">
        <v>252</v>
      </c>
      <c r="BB10">
        <v>34973</v>
      </c>
      <c r="BC10">
        <v>1508</v>
      </c>
      <c r="BD10">
        <v>16455</v>
      </c>
      <c r="BE10">
        <v>16455</v>
      </c>
      <c r="BF10">
        <v>15996</v>
      </c>
      <c r="BG10">
        <v>363</v>
      </c>
      <c r="BH10">
        <v>126</v>
      </c>
      <c r="BI10">
        <v>35</v>
      </c>
      <c r="BJ10">
        <v>103</v>
      </c>
      <c r="BK10">
        <v>13</v>
      </c>
      <c r="BL10">
        <v>1372012</v>
      </c>
      <c r="BM10">
        <v>33058</v>
      </c>
      <c r="BN10">
        <v>111329</v>
      </c>
      <c r="BO10">
        <v>15537</v>
      </c>
      <c r="BP10">
        <v>116</v>
      </c>
      <c r="BQ10">
        <v>7655</v>
      </c>
      <c r="BR10">
        <v>757</v>
      </c>
      <c r="BS10">
        <v>777</v>
      </c>
    </row>
    <row r="11" spans="1:71">
      <c r="A11">
        <v>8</v>
      </c>
      <c r="B11" t="s">
        <v>77</v>
      </c>
      <c r="C11">
        <v>676.8</v>
      </c>
      <c r="D11">
        <v>589.5</v>
      </c>
      <c r="E11">
        <v>216.6</v>
      </c>
      <c r="F11">
        <v>87.3</v>
      </c>
      <c r="G11">
        <v>2907.2</v>
      </c>
      <c r="H11">
        <v>107</v>
      </c>
      <c r="I11">
        <v>70.599999999999994</v>
      </c>
      <c r="J11">
        <v>30.5</v>
      </c>
      <c r="K11">
        <v>5.8</v>
      </c>
      <c r="L11">
        <v>107</v>
      </c>
      <c r="M11">
        <v>76.599999999999994</v>
      </c>
      <c r="N11">
        <v>7.9</v>
      </c>
      <c r="O11">
        <v>13</v>
      </c>
      <c r="P11">
        <v>9.4</v>
      </c>
      <c r="Q11">
        <v>459.6</v>
      </c>
      <c r="R11">
        <v>7452.6</v>
      </c>
      <c r="S11">
        <v>88.8</v>
      </c>
      <c r="T11">
        <v>8804.7999999999993</v>
      </c>
      <c r="U11">
        <v>619.70000000000005</v>
      </c>
      <c r="V11">
        <v>221.4</v>
      </c>
      <c r="W11">
        <v>864.3</v>
      </c>
      <c r="X11">
        <v>277.2</v>
      </c>
      <c r="Y11">
        <v>631.6</v>
      </c>
      <c r="Z11">
        <v>456757</v>
      </c>
      <c r="AA11">
        <v>46228</v>
      </c>
      <c r="AB11">
        <v>163116</v>
      </c>
      <c r="AC11">
        <v>197457</v>
      </c>
      <c r="AD11">
        <v>49555</v>
      </c>
      <c r="AE11">
        <v>401</v>
      </c>
      <c r="AF11">
        <v>2097</v>
      </c>
      <c r="AG11">
        <v>226.3</v>
      </c>
      <c r="AH11">
        <v>36.1</v>
      </c>
      <c r="AI11">
        <v>4.5999999999999996</v>
      </c>
      <c r="AJ11">
        <v>11</v>
      </c>
      <c r="AK11">
        <v>174.5</v>
      </c>
      <c r="AL11">
        <v>8701</v>
      </c>
      <c r="AM11">
        <v>3808</v>
      </c>
      <c r="AN11">
        <v>1706</v>
      </c>
      <c r="AO11">
        <v>1450</v>
      </c>
      <c r="AP11">
        <v>1357</v>
      </c>
      <c r="AQ11">
        <v>380</v>
      </c>
      <c r="AR11">
        <v>47042</v>
      </c>
      <c r="AS11">
        <v>8486</v>
      </c>
      <c r="AT11">
        <v>32393</v>
      </c>
      <c r="AU11">
        <v>10</v>
      </c>
      <c r="AV11" t="s">
        <v>71</v>
      </c>
      <c r="AW11">
        <v>6153</v>
      </c>
      <c r="AX11">
        <v>26540</v>
      </c>
      <c r="AY11">
        <v>873</v>
      </c>
      <c r="AZ11">
        <v>409</v>
      </c>
      <c r="BA11">
        <v>171</v>
      </c>
      <c r="BB11">
        <v>25306</v>
      </c>
      <c r="BC11">
        <v>337</v>
      </c>
      <c r="BD11">
        <v>8701</v>
      </c>
      <c r="BE11">
        <v>8701</v>
      </c>
      <c r="BF11">
        <v>15514</v>
      </c>
      <c r="BG11">
        <v>250</v>
      </c>
      <c r="BH11">
        <v>70</v>
      </c>
      <c r="BI11">
        <v>54</v>
      </c>
      <c r="BJ11">
        <v>70</v>
      </c>
      <c r="BK11">
        <v>21</v>
      </c>
      <c r="BL11">
        <v>899449</v>
      </c>
      <c r="BM11">
        <v>15345</v>
      </c>
      <c r="BN11">
        <v>64328</v>
      </c>
      <c r="BO11">
        <v>7346</v>
      </c>
      <c r="BP11">
        <v>29</v>
      </c>
      <c r="BQ11">
        <v>449</v>
      </c>
      <c r="BR11">
        <v>269</v>
      </c>
      <c r="BS11">
        <v>341</v>
      </c>
    </row>
    <row r="12" spans="1:71">
      <c r="A12">
        <v>9</v>
      </c>
      <c r="B12" t="s">
        <v>78</v>
      </c>
      <c r="C12">
        <v>1011.7</v>
      </c>
      <c r="D12">
        <v>851.6</v>
      </c>
      <c r="E12">
        <v>342.9</v>
      </c>
      <c r="F12">
        <v>160.1</v>
      </c>
      <c r="G12">
        <v>3322</v>
      </c>
      <c r="H12">
        <v>288.5</v>
      </c>
      <c r="I12">
        <v>187.9</v>
      </c>
      <c r="J12">
        <v>97.6</v>
      </c>
      <c r="K12">
        <v>3.1</v>
      </c>
      <c r="L12">
        <v>288.5</v>
      </c>
      <c r="M12">
        <v>258.39999999999998</v>
      </c>
      <c r="N12">
        <v>11.9</v>
      </c>
      <c r="O12">
        <v>14.5</v>
      </c>
      <c r="P12">
        <v>3.7</v>
      </c>
      <c r="Q12">
        <v>947.3</v>
      </c>
      <c r="R12">
        <v>17167.7</v>
      </c>
      <c r="S12">
        <v>74.2</v>
      </c>
      <c r="T12">
        <v>21611.3</v>
      </c>
      <c r="U12">
        <v>1169.5</v>
      </c>
      <c r="V12">
        <v>3474.7</v>
      </c>
      <c r="W12">
        <v>1177.2</v>
      </c>
      <c r="X12">
        <v>558.29999999999995</v>
      </c>
      <c r="Y12">
        <v>1721.5</v>
      </c>
      <c r="Z12">
        <v>857770</v>
      </c>
      <c r="AA12">
        <v>43116</v>
      </c>
      <c r="AB12">
        <v>182895</v>
      </c>
      <c r="AC12">
        <v>593033</v>
      </c>
      <c r="AD12">
        <v>34338</v>
      </c>
      <c r="AE12">
        <v>4388</v>
      </c>
      <c r="AF12">
        <v>6250.8</v>
      </c>
      <c r="AG12">
        <v>240.3</v>
      </c>
      <c r="AH12">
        <v>75.900000000000006</v>
      </c>
      <c r="AI12">
        <v>46.5</v>
      </c>
      <c r="AJ12">
        <v>32.299999999999997</v>
      </c>
      <c r="AK12">
        <v>85.6</v>
      </c>
      <c r="AL12">
        <v>10206</v>
      </c>
      <c r="AM12">
        <v>7445</v>
      </c>
      <c r="AN12">
        <v>1319</v>
      </c>
      <c r="AO12">
        <v>139</v>
      </c>
      <c r="AP12">
        <v>701</v>
      </c>
      <c r="AQ12">
        <v>602</v>
      </c>
      <c r="AR12">
        <v>96649</v>
      </c>
      <c r="AS12">
        <v>2645</v>
      </c>
      <c r="AT12">
        <v>90765</v>
      </c>
      <c r="AU12">
        <v>777</v>
      </c>
      <c r="AV12" t="s">
        <v>71</v>
      </c>
      <c r="AW12">
        <v>2462</v>
      </c>
      <c r="AX12">
        <v>22535</v>
      </c>
      <c r="AY12">
        <v>1278</v>
      </c>
      <c r="AZ12">
        <v>810</v>
      </c>
      <c r="BA12">
        <v>199</v>
      </c>
      <c r="BB12">
        <v>20759</v>
      </c>
      <c r="BC12">
        <v>643</v>
      </c>
      <c r="BD12">
        <v>10206</v>
      </c>
      <c r="BE12">
        <v>10206</v>
      </c>
      <c r="BF12">
        <v>8935</v>
      </c>
      <c r="BG12">
        <v>403</v>
      </c>
      <c r="BH12">
        <v>145</v>
      </c>
      <c r="BI12">
        <v>17</v>
      </c>
      <c r="BJ12">
        <v>118</v>
      </c>
      <c r="BK12">
        <v>52</v>
      </c>
      <c r="BL12">
        <v>1004969</v>
      </c>
      <c r="BM12">
        <v>22391</v>
      </c>
      <c r="BN12">
        <v>90377</v>
      </c>
      <c r="BO12">
        <v>9166</v>
      </c>
      <c r="BP12">
        <v>15</v>
      </c>
      <c r="BQ12">
        <v>1123</v>
      </c>
      <c r="BR12">
        <v>138</v>
      </c>
      <c r="BS12">
        <v>56</v>
      </c>
    </row>
    <row r="13" spans="1:71">
      <c r="A13">
        <v>10</v>
      </c>
      <c r="B13" t="s">
        <v>79</v>
      </c>
      <c r="C13">
        <v>53.4</v>
      </c>
      <c r="D13">
        <v>45.6</v>
      </c>
      <c r="E13">
        <v>10.7</v>
      </c>
      <c r="F13">
        <v>7.7</v>
      </c>
      <c r="G13">
        <v>215</v>
      </c>
      <c r="H13">
        <v>107.3</v>
      </c>
      <c r="I13">
        <v>105.9</v>
      </c>
      <c r="J13">
        <v>0</v>
      </c>
      <c r="K13">
        <v>1.4</v>
      </c>
      <c r="L13">
        <v>107.3</v>
      </c>
      <c r="M13">
        <v>14.3</v>
      </c>
      <c r="N13">
        <v>68.099999999999994</v>
      </c>
      <c r="O13">
        <v>23.8</v>
      </c>
      <c r="P13">
        <v>1</v>
      </c>
      <c r="Q13">
        <v>432.1</v>
      </c>
      <c r="R13">
        <v>160.9</v>
      </c>
      <c r="S13">
        <v>14.1</v>
      </c>
      <c r="T13">
        <v>88.5</v>
      </c>
      <c r="U13">
        <v>17.8</v>
      </c>
      <c r="V13">
        <v>70.7</v>
      </c>
      <c r="W13">
        <v>285.3</v>
      </c>
      <c r="X13">
        <v>37</v>
      </c>
      <c r="Y13">
        <v>185.3</v>
      </c>
      <c r="Z13">
        <v>1202295</v>
      </c>
      <c r="AA13">
        <v>59134</v>
      </c>
      <c r="AB13">
        <v>6377</v>
      </c>
      <c r="AC13">
        <v>479616</v>
      </c>
      <c r="AD13">
        <v>527772</v>
      </c>
      <c r="AE13">
        <v>135773</v>
      </c>
      <c r="AF13">
        <v>160.9</v>
      </c>
      <c r="AG13">
        <v>6.4</v>
      </c>
      <c r="AH13">
        <v>2.2999999999999998</v>
      </c>
      <c r="AI13">
        <v>0.3</v>
      </c>
      <c r="AJ13">
        <v>0.1</v>
      </c>
      <c r="AK13">
        <v>3.6</v>
      </c>
      <c r="AL13">
        <v>1101</v>
      </c>
      <c r="AM13">
        <v>783</v>
      </c>
      <c r="AN13" t="s">
        <v>71</v>
      </c>
      <c r="AO13" t="s">
        <v>71</v>
      </c>
      <c r="AP13" t="s">
        <v>71</v>
      </c>
      <c r="AQ13">
        <v>318</v>
      </c>
      <c r="AR13">
        <v>315780</v>
      </c>
      <c r="AS13">
        <v>40478</v>
      </c>
      <c r="AT13">
        <v>235818</v>
      </c>
      <c r="AU13">
        <v>166</v>
      </c>
      <c r="AV13">
        <v>33</v>
      </c>
      <c r="AW13">
        <v>39286</v>
      </c>
      <c r="AX13">
        <v>6421</v>
      </c>
      <c r="AY13">
        <v>492</v>
      </c>
      <c r="AZ13">
        <v>184</v>
      </c>
      <c r="BA13">
        <v>28</v>
      </c>
      <c r="BB13">
        <v>5692</v>
      </c>
      <c r="BC13">
        <v>1208</v>
      </c>
      <c r="BD13">
        <v>1101</v>
      </c>
      <c r="BE13">
        <v>1101</v>
      </c>
      <c r="BF13">
        <v>3383</v>
      </c>
      <c r="BG13">
        <v>88</v>
      </c>
      <c r="BH13">
        <v>19</v>
      </c>
      <c r="BI13">
        <v>14</v>
      </c>
      <c r="BJ13">
        <v>16</v>
      </c>
      <c r="BK13">
        <v>5</v>
      </c>
      <c r="BL13">
        <v>130709</v>
      </c>
      <c r="BM13">
        <v>9887</v>
      </c>
      <c r="BN13">
        <v>29218</v>
      </c>
      <c r="BO13">
        <v>1617</v>
      </c>
      <c r="BP13">
        <v>20</v>
      </c>
      <c r="BQ13">
        <v>324</v>
      </c>
      <c r="BR13">
        <v>248</v>
      </c>
      <c r="BS13">
        <v>389</v>
      </c>
    </row>
    <row r="14" spans="1:71">
      <c r="A14">
        <v>11</v>
      </c>
      <c r="B14" t="s">
        <v>80</v>
      </c>
      <c r="C14">
        <v>496.3</v>
      </c>
      <c r="D14">
        <v>438.7</v>
      </c>
      <c r="E14">
        <v>132.1</v>
      </c>
      <c r="F14">
        <v>57.6</v>
      </c>
      <c r="G14">
        <v>582.1</v>
      </c>
      <c r="H14">
        <v>578.70000000000005</v>
      </c>
      <c r="I14">
        <v>560.5</v>
      </c>
      <c r="J14">
        <v>2.1</v>
      </c>
      <c r="K14">
        <v>16</v>
      </c>
      <c r="L14">
        <v>578.70000000000005</v>
      </c>
      <c r="M14">
        <v>244.8</v>
      </c>
      <c r="N14">
        <v>251.1</v>
      </c>
      <c r="O14">
        <v>67.3</v>
      </c>
      <c r="P14">
        <v>15.4</v>
      </c>
      <c r="Q14">
        <v>678.7</v>
      </c>
      <c r="R14">
        <v>4139.6000000000004</v>
      </c>
      <c r="S14">
        <v>216</v>
      </c>
      <c r="T14">
        <v>792.6</v>
      </c>
      <c r="U14">
        <v>105.4</v>
      </c>
      <c r="V14">
        <v>407.6</v>
      </c>
      <c r="W14">
        <v>2059.9</v>
      </c>
      <c r="X14">
        <v>392.1</v>
      </c>
      <c r="Y14">
        <v>2464.8000000000002</v>
      </c>
      <c r="Z14">
        <v>3195784</v>
      </c>
      <c r="AA14">
        <v>267012</v>
      </c>
      <c r="AB14">
        <v>6377</v>
      </c>
      <c r="AC14">
        <v>2178853</v>
      </c>
      <c r="AD14">
        <v>554552</v>
      </c>
      <c r="AE14">
        <v>188990</v>
      </c>
      <c r="AF14">
        <v>3873.8</v>
      </c>
      <c r="AG14">
        <v>264.2</v>
      </c>
      <c r="AH14">
        <v>121.6</v>
      </c>
      <c r="AI14">
        <v>22.3</v>
      </c>
      <c r="AJ14">
        <v>14</v>
      </c>
      <c r="AK14">
        <v>106.4</v>
      </c>
      <c r="AL14">
        <v>14523</v>
      </c>
      <c r="AM14">
        <v>5472</v>
      </c>
      <c r="AN14">
        <v>6890</v>
      </c>
      <c r="AO14">
        <v>940</v>
      </c>
      <c r="AP14">
        <v>86</v>
      </c>
      <c r="AQ14">
        <v>1135</v>
      </c>
      <c r="AR14">
        <v>276680</v>
      </c>
      <c r="AS14">
        <v>31110</v>
      </c>
      <c r="AT14">
        <v>191956</v>
      </c>
      <c r="AU14">
        <v>10688</v>
      </c>
      <c r="AV14">
        <v>304</v>
      </c>
      <c r="AW14">
        <v>42622</v>
      </c>
      <c r="AX14">
        <v>41680</v>
      </c>
      <c r="AY14">
        <v>2246</v>
      </c>
      <c r="AZ14">
        <v>980</v>
      </c>
      <c r="BA14">
        <v>173</v>
      </c>
      <c r="BB14">
        <v>38446</v>
      </c>
      <c r="BC14">
        <v>2732</v>
      </c>
      <c r="BD14">
        <v>14523</v>
      </c>
      <c r="BE14">
        <v>14523</v>
      </c>
      <c r="BF14">
        <v>20300</v>
      </c>
      <c r="BG14">
        <v>495</v>
      </c>
      <c r="BH14">
        <v>115</v>
      </c>
      <c r="BI14">
        <v>24</v>
      </c>
      <c r="BJ14">
        <v>125</v>
      </c>
      <c r="BK14">
        <v>96</v>
      </c>
      <c r="BL14">
        <v>1206340</v>
      </c>
      <c r="BM14">
        <v>50491</v>
      </c>
      <c r="BN14">
        <v>164691</v>
      </c>
      <c r="BO14">
        <v>18831</v>
      </c>
      <c r="BP14">
        <v>113</v>
      </c>
      <c r="BQ14">
        <v>2450</v>
      </c>
      <c r="BR14">
        <v>1062</v>
      </c>
      <c r="BS14">
        <v>1027</v>
      </c>
    </row>
    <row r="15" spans="1:71">
      <c r="A15">
        <v>12</v>
      </c>
      <c r="B15" t="s">
        <v>81</v>
      </c>
      <c r="C15">
        <v>1209.0999999999999</v>
      </c>
      <c r="D15">
        <v>1189.9000000000001</v>
      </c>
      <c r="E15">
        <v>245.9</v>
      </c>
      <c r="F15">
        <v>19.2</v>
      </c>
      <c r="G15">
        <v>1818.6</v>
      </c>
      <c r="H15">
        <v>173.1</v>
      </c>
      <c r="I15">
        <v>166.8</v>
      </c>
      <c r="J15">
        <v>0.1</v>
      </c>
      <c r="K15">
        <v>6.2</v>
      </c>
      <c r="L15">
        <v>173.1</v>
      </c>
      <c r="M15">
        <v>73.7</v>
      </c>
      <c r="N15">
        <v>36.9</v>
      </c>
      <c r="O15">
        <v>55.5</v>
      </c>
      <c r="P15">
        <v>7</v>
      </c>
      <c r="Q15">
        <v>260.39999999999998</v>
      </c>
      <c r="R15">
        <v>1320.8</v>
      </c>
      <c r="S15">
        <v>681.8</v>
      </c>
      <c r="T15">
        <v>6079</v>
      </c>
      <c r="U15">
        <v>79.8</v>
      </c>
      <c r="V15">
        <v>156.80000000000001</v>
      </c>
      <c r="W15">
        <v>1179.4000000000001</v>
      </c>
      <c r="X15">
        <v>282.2</v>
      </c>
      <c r="Y15">
        <v>685.1</v>
      </c>
      <c r="Z15">
        <v>1940981</v>
      </c>
      <c r="AA15">
        <v>135706</v>
      </c>
      <c r="AB15">
        <v>1115</v>
      </c>
      <c r="AC15">
        <v>902997</v>
      </c>
      <c r="AD15">
        <v>776893</v>
      </c>
      <c r="AE15">
        <v>124270</v>
      </c>
      <c r="AF15">
        <v>1243.8</v>
      </c>
      <c r="AG15">
        <v>65.400000000000006</v>
      </c>
      <c r="AH15">
        <v>19.600000000000001</v>
      </c>
      <c r="AI15">
        <v>3</v>
      </c>
      <c r="AJ15">
        <v>4.5</v>
      </c>
      <c r="AK15">
        <v>38.299999999999997</v>
      </c>
      <c r="AL15">
        <v>11681</v>
      </c>
      <c r="AM15">
        <v>4816</v>
      </c>
      <c r="AN15">
        <v>4612</v>
      </c>
      <c r="AO15">
        <v>72</v>
      </c>
      <c r="AP15">
        <v>1453</v>
      </c>
      <c r="AQ15">
        <v>728</v>
      </c>
      <c r="AR15">
        <v>247092</v>
      </c>
      <c r="AS15">
        <v>71381</v>
      </c>
      <c r="AT15">
        <v>120402</v>
      </c>
      <c r="AU15">
        <v>13461</v>
      </c>
      <c r="AV15">
        <v>10</v>
      </c>
      <c r="AW15">
        <v>41839</v>
      </c>
      <c r="AX15">
        <v>39593</v>
      </c>
      <c r="AY15">
        <v>1620</v>
      </c>
      <c r="AZ15">
        <v>614</v>
      </c>
      <c r="BA15">
        <v>196</v>
      </c>
      <c r="BB15">
        <v>37395</v>
      </c>
      <c r="BC15">
        <v>3623</v>
      </c>
      <c r="BD15">
        <v>11681</v>
      </c>
      <c r="BE15">
        <v>11681</v>
      </c>
      <c r="BF15">
        <v>21081</v>
      </c>
      <c r="BG15">
        <v>322</v>
      </c>
      <c r="BH15">
        <v>102</v>
      </c>
      <c r="BI15">
        <v>14</v>
      </c>
      <c r="BJ15">
        <v>95</v>
      </c>
      <c r="BK15">
        <v>9</v>
      </c>
      <c r="BL15">
        <v>514440</v>
      </c>
      <c r="BM15">
        <v>39375</v>
      </c>
      <c r="BN15">
        <v>113863</v>
      </c>
      <c r="BO15">
        <v>12599</v>
      </c>
      <c r="BP15">
        <v>125</v>
      </c>
      <c r="BQ15">
        <v>1014</v>
      </c>
      <c r="BR15">
        <v>1336</v>
      </c>
      <c r="BS15">
        <v>2392</v>
      </c>
    </row>
    <row r="16" spans="1:71">
      <c r="A16">
        <v>13</v>
      </c>
      <c r="B16" t="s">
        <v>82</v>
      </c>
      <c r="C16">
        <v>889.7</v>
      </c>
      <c r="D16">
        <v>810.9</v>
      </c>
      <c r="E16">
        <v>216.6</v>
      </c>
      <c r="F16">
        <v>78.7</v>
      </c>
      <c r="G16">
        <v>1453.3</v>
      </c>
      <c r="H16">
        <v>274.7</v>
      </c>
      <c r="I16">
        <v>244.6</v>
      </c>
      <c r="J16">
        <v>21.5</v>
      </c>
      <c r="K16">
        <v>8.6</v>
      </c>
      <c r="L16">
        <v>274.7</v>
      </c>
      <c r="M16">
        <v>148</v>
      </c>
      <c r="N16">
        <v>80</v>
      </c>
      <c r="O16">
        <v>37.200000000000003</v>
      </c>
      <c r="P16">
        <v>9.6</v>
      </c>
      <c r="Q16">
        <v>448.7</v>
      </c>
      <c r="R16">
        <v>5563.5</v>
      </c>
      <c r="S16">
        <v>369.3</v>
      </c>
      <c r="T16">
        <v>4047.2</v>
      </c>
      <c r="U16">
        <v>66.099999999999994</v>
      </c>
      <c r="V16">
        <v>40.299999999999997</v>
      </c>
      <c r="W16">
        <v>1755.5</v>
      </c>
      <c r="X16">
        <v>333.7</v>
      </c>
      <c r="Y16">
        <v>1709.1</v>
      </c>
      <c r="Z16">
        <v>2968658</v>
      </c>
      <c r="AA16">
        <v>226473</v>
      </c>
      <c r="AB16">
        <v>65846</v>
      </c>
      <c r="AC16">
        <v>1816061</v>
      </c>
      <c r="AD16">
        <v>496932</v>
      </c>
      <c r="AE16">
        <v>363346</v>
      </c>
      <c r="AF16">
        <v>4701.1000000000004</v>
      </c>
      <c r="AG16">
        <v>275.5</v>
      </c>
      <c r="AH16">
        <v>62.2</v>
      </c>
      <c r="AI16">
        <v>8</v>
      </c>
      <c r="AJ16">
        <v>11</v>
      </c>
      <c r="AK16">
        <v>194.3</v>
      </c>
      <c r="AL16">
        <v>15555</v>
      </c>
      <c r="AM16">
        <v>9269</v>
      </c>
      <c r="AN16">
        <v>25</v>
      </c>
      <c r="AO16">
        <v>2508</v>
      </c>
      <c r="AP16">
        <v>698</v>
      </c>
      <c r="AQ16">
        <v>3055</v>
      </c>
      <c r="AR16">
        <v>211040</v>
      </c>
      <c r="AS16">
        <v>15252</v>
      </c>
      <c r="AT16">
        <v>188767</v>
      </c>
      <c r="AU16">
        <v>4412</v>
      </c>
      <c r="AV16">
        <v>5</v>
      </c>
      <c r="AW16">
        <v>2603</v>
      </c>
      <c r="AX16">
        <v>32635</v>
      </c>
      <c r="AY16">
        <v>1354</v>
      </c>
      <c r="AZ16">
        <v>699</v>
      </c>
      <c r="BA16">
        <v>156</v>
      </c>
      <c r="BB16">
        <v>30583</v>
      </c>
      <c r="BC16">
        <v>1825</v>
      </c>
      <c r="BD16">
        <v>15555</v>
      </c>
      <c r="BE16">
        <v>15555</v>
      </c>
      <c r="BF16">
        <v>11894</v>
      </c>
      <c r="BG16">
        <v>499</v>
      </c>
      <c r="BH16">
        <v>128</v>
      </c>
      <c r="BI16">
        <v>57</v>
      </c>
      <c r="BJ16">
        <v>129</v>
      </c>
      <c r="BK16">
        <v>101</v>
      </c>
      <c r="BL16">
        <v>1397464</v>
      </c>
      <c r="BM16">
        <v>59516</v>
      </c>
      <c r="BN16">
        <v>175309</v>
      </c>
      <c r="BO16">
        <v>22504</v>
      </c>
      <c r="BP16">
        <v>119</v>
      </c>
      <c r="BQ16">
        <v>1106</v>
      </c>
      <c r="BR16">
        <v>814</v>
      </c>
      <c r="BS16">
        <v>2189</v>
      </c>
    </row>
    <row r="17" spans="1:71">
      <c r="A17">
        <v>14</v>
      </c>
      <c r="B17" t="s">
        <v>83</v>
      </c>
      <c r="C17">
        <v>1326.8</v>
      </c>
      <c r="D17">
        <v>1324.6</v>
      </c>
      <c r="E17">
        <v>342.6</v>
      </c>
      <c r="F17">
        <v>2.2000000000000002</v>
      </c>
      <c r="G17">
        <v>3168.1</v>
      </c>
      <c r="H17">
        <v>172.5</v>
      </c>
      <c r="I17">
        <v>161</v>
      </c>
      <c r="J17">
        <v>2.1</v>
      </c>
      <c r="K17">
        <v>9.5</v>
      </c>
      <c r="L17">
        <v>172.5</v>
      </c>
      <c r="M17">
        <v>94.2</v>
      </c>
      <c r="N17">
        <v>29.4</v>
      </c>
      <c r="O17">
        <v>31.5</v>
      </c>
      <c r="P17">
        <v>17.5</v>
      </c>
      <c r="Q17">
        <v>411.9</v>
      </c>
      <c r="R17">
        <v>926.3</v>
      </c>
      <c r="S17">
        <v>922</v>
      </c>
      <c r="T17">
        <v>8769.6</v>
      </c>
      <c r="U17">
        <v>76.7</v>
      </c>
      <c r="V17">
        <v>186.3</v>
      </c>
      <c r="W17">
        <v>730.3</v>
      </c>
      <c r="X17">
        <v>235.2</v>
      </c>
      <c r="Y17">
        <v>372.3</v>
      </c>
      <c r="Z17">
        <v>1410718</v>
      </c>
      <c r="AA17">
        <v>63222</v>
      </c>
      <c r="AB17">
        <v>63222</v>
      </c>
      <c r="AC17">
        <v>895674</v>
      </c>
      <c r="AD17">
        <v>254111</v>
      </c>
      <c r="AE17">
        <v>197711</v>
      </c>
      <c r="AF17">
        <v>873.1</v>
      </c>
      <c r="AG17">
        <v>86.4</v>
      </c>
      <c r="AH17">
        <v>30.2</v>
      </c>
      <c r="AI17">
        <v>11.8</v>
      </c>
      <c r="AJ17">
        <v>16.8</v>
      </c>
      <c r="AK17">
        <v>27.6</v>
      </c>
      <c r="AL17">
        <v>16302</v>
      </c>
      <c r="AM17">
        <v>10511</v>
      </c>
      <c r="AN17">
        <v>1105</v>
      </c>
      <c r="AO17">
        <v>203</v>
      </c>
      <c r="AP17">
        <v>2916</v>
      </c>
      <c r="AQ17">
        <v>1567</v>
      </c>
      <c r="AR17">
        <v>346087</v>
      </c>
      <c r="AS17">
        <v>34676</v>
      </c>
      <c r="AT17">
        <v>304190</v>
      </c>
      <c r="AU17">
        <v>1765</v>
      </c>
      <c r="AV17">
        <v>2187</v>
      </c>
      <c r="AW17">
        <v>3269</v>
      </c>
      <c r="AX17">
        <v>30543</v>
      </c>
      <c r="AY17">
        <v>736</v>
      </c>
      <c r="AZ17">
        <v>390</v>
      </c>
      <c r="BA17">
        <v>93</v>
      </c>
      <c r="BB17">
        <v>29416</v>
      </c>
      <c r="BC17">
        <v>755</v>
      </c>
      <c r="BD17">
        <v>16302</v>
      </c>
      <c r="BE17">
        <v>16302</v>
      </c>
      <c r="BF17">
        <v>11484</v>
      </c>
      <c r="BG17">
        <v>282</v>
      </c>
      <c r="BH17">
        <v>101</v>
      </c>
      <c r="BI17">
        <v>18</v>
      </c>
      <c r="BJ17">
        <v>94</v>
      </c>
      <c r="BK17">
        <v>46</v>
      </c>
      <c r="BL17">
        <v>602380</v>
      </c>
      <c r="BM17">
        <v>48195</v>
      </c>
      <c r="BN17">
        <v>125430</v>
      </c>
      <c r="BO17">
        <v>15302</v>
      </c>
      <c r="BP17">
        <v>45</v>
      </c>
      <c r="BQ17">
        <v>500</v>
      </c>
      <c r="BR17">
        <v>951</v>
      </c>
      <c r="BS17">
        <v>2129</v>
      </c>
    </row>
    <row r="18" spans="1:71">
      <c r="A18">
        <v>15</v>
      </c>
      <c r="B18" t="s">
        <v>84</v>
      </c>
      <c r="C18">
        <v>2059.6999999999998</v>
      </c>
      <c r="D18">
        <v>2039.7</v>
      </c>
      <c r="E18">
        <v>446.5</v>
      </c>
      <c r="F18">
        <v>20</v>
      </c>
      <c r="G18">
        <v>4568.5</v>
      </c>
      <c r="H18">
        <v>238.2</v>
      </c>
      <c r="I18">
        <v>232.4</v>
      </c>
      <c r="J18">
        <v>2.1</v>
      </c>
      <c r="K18">
        <v>3.7</v>
      </c>
      <c r="L18">
        <v>238.2</v>
      </c>
      <c r="M18">
        <v>165.7</v>
      </c>
      <c r="N18">
        <v>37.799999999999997</v>
      </c>
      <c r="O18">
        <v>30.1</v>
      </c>
      <c r="P18">
        <v>4.5</v>
      </c>
      <c r="Q18">
        <v>528.29999999999995</v>
      </c>
      <c r="R18">
        <v>2718.3</v>
      </c>
      <c r="S18">
        <v>586.20000000000005</v>
      </c>
      <c r="T18">
        <v>10334.299999999999</v>
      </c>
      <c r="U18">
        <v>102.5</v>
      </c>
      <c r="V18">
        <v>225.5</v>
      </c>
      <c r="W18">
        <v>1133.7</v>
      </c>
      <c r="X18">
        <v>372</v>
      </c>
      <c r="Y18">
        <v>1089.9000000000001</v>
      </c>
      <c r="Z18">
        <v>2040867</v>
      </c>
      <c r="AA18">
        <v>155292</v>
      </c>
      <c r="AB18">
        <v>65846</v>
      </c>
      <c r="AC18">
        <v>1450218</v>
      </c>
      <c r="AD18">
        <v>276346</v>
      </c>
      <c r="AE18">
        <v>159011</v>
      </c>
      <c r="AF18">
        <v>2201.6</v>
      </c>
      <c r="AG18">
        <v>106</v>
      </c>
      <c r="AH18">
        <v>27</v>
      </c>
      <c r="AI18">
        <v>13.2</v>
      </c>
      <c r="AJ18">
        <v>14.5</v>
      </c>
      <c r="AK18">
        <v>51.4</v>
      </c>
      <c r="AL18">
        <v>25889</v>
      </c>
      <c r="AM18">
        <v>12351</v>
      </c>
      <c r="AN18">
        <v>1312</v>
      </c>
      <c r="AO18">
        <v>1312</v>
      </c>
      <c r="AP18">
        <v>9543</v>
      </c>
      <c r="AQ18">
        <v>1371</v>
      </c>
      <c r="AR18">
        <v>47663</v>
      </c>
      <c r="AS18">
        <v>2977</v>
      </c>
      <c r="AT18">
        <v>40311</v>
      </c>
      <c r="AU18">
        <v>1244</v>
      </c>
      <c r="AV18">
        <v>315</v>
      </c>
      <c r="AW18">
        <v>2816</v>
      </c>
      <c r="AX18">
        <v>39392</v>
      </c>
      <c r="AY18">
        <v>1098</v>
      </c>
      <c r="AZ18">
        <v>621</v>
      </c>
      <c r="BA18">
        <v>149</v>
      </c>
      <c r="BB18">
        <v>37681</v>
      </c>
      <c r="BC18">
        <v>703</v>
      </c>
      <c r="BD18">
        <v>25889</v>
      </c>
      <c r="BE18">
        <v>25889</v>
      </c>
      <c r="BF18">
        <v>9485</v>
      </c>
      <c r="BG18">
        <v>439</v>
      </c>
      <c r="BH18">
        <v>149</v>
      </c>
      <c r="BI18">
        <v>73</v>
      </c>
      <c r="BJ18">
        <v>116</v>
      </c>
      <c r="BK18">
        <v>23</v>
      </c>
      <c r="BL18">
        <v>1044465</v>
      </c>
      <c r="BM18">
        <v>48684</v>
      </c>
      <c r="BN18">
        <v>133302</v>
      </c>
      <c r="BO18">
        <v>17393</v>
      </c>
      <c r="BP18">
        <v>101</v>
      </c>
      <c r="BQ18">
        <v>8503</v>
      </c>
      <c r="BR18">
        <v>850</v>
      </c>
      <c r="BS18">
        <v>4140</v>
      </c>
    </row>
    <row r="19" spans="1:71">
      <c r="A19">
        <v>16</v>
      </c>
      <c r="B19" t="s">
        <v>85</v>
      </c>
      <c r="C19">
        <v>461.7</v>
      </c>
      <c r="D19">
        <v>355.8</v>
      </c>
      <c r="E19">
        <v>194</v>
      </c>
      <c r="F19">
        <v>105.9</v>
      </c>
      <c r="G19">
        <v>457.1</v>
      </c>
      <c r="H19">
        <v>231.6</v>
      </c>
      <c r="I19">
        <v>142.80000000000001</v>
      </c>
      <c r="J19">
        <v>68.2</v>
      </c>
      <c r="K19">
        <v>20.5</v>
      </c>
      <c r="L19">
        <v>231.6</v>
      </c>
      <c r="M19">
        <v>132.9</v>
      </c>
      <c r="N19">
        <v>34.299999999999997</v>
      </c>
      <c r="O19">
        <v>45</v>
      </c>
      <c r="P19">
        <v>19.399999999999999</v>
      </c>
      <c r="Q19">
        <v>229.3</v>
      </c>
      <c r="R19">
        <v>6539.3</v>
      </c>
      <c r="S19">
        <v>1199.4000000000001</v>
      </c>
      <c r="T19">
        <v>2443.6999999999998</v>
      </c>
      <c r="U19">
        <v>243.7</v>
      </c>
      <c r="V19">
        <v>245.5</v>
      </c>
      <c r="W19">
        <v>2863.1</v>
      </c>
      <c r="X19">
        <v>489.1</v>
      </c>
      <c r="Y19">
        <v>1346.1</v>
      </c>
      <c r="Z19">
        <v>4140387</v>
      </c>
      <c r="AA19">
        <v>103408</v>
      </c>
      <c r="AB19">
        <v>832734</v>
      </c>
      <c r="AC19">
        <v>2418338</v>
      </c>
      <c r="AD19">
        <v>665930</v>
      </c>
      <c r="AE19">
        <v>119977</v>
      </c>
      <c r="AF19">
        <v>5271.4</v>
      </c>
      <c r="AG19">
        <v>349.6</v>
      </c>
      <c r="AH19">
        <v>92.1</v>
      </c>
      <c r="AI19">
        <v>28.9</v>
      </c>
      <c r="AJ19">
        <v>26.4</v>
      </c>
      <c r="AK19">
        <v>202.2</v>
      </c>
      <c r="AL19">
        <v>50598</v>
      </c>
      <c r="AM19">
        <v>29392</v>
      </c>
      <c r="AN19">
        <v>10677</v>
      </c>
      <c r="AO19">
        <v>3743</v>
      </c>
      <c r="AP19">
        <v>3383</v>
      </c>
      <c r="AQ19">
        <v>3403</v>
      </c>
      <c r="AR19">
        <v>326398</v>
      </c>
      <c r="AS19">
        <v>75745</v>
      </c>
      <c r="AT19">
        <v>238477</v>
      </c>
      <c r="AU19">
        <v>1535</v>
      </c>
      <c r="AV19">
        <v>34</v>
      </c>
      <c r="AW19">
        <v>10607</v>
      </c>
      <c r="AX19">
        <v>90070</v>
      </c>
      <c r="AY19">
        <v>2930</v>
      </c>
      <c r="AZ19">
        <v>1491</v>
      </c>
      <c r="BA19">
        <v>436</v>
      </c>
      <c r="BB19">
        <v>86289</v>
      </c>
      <c r="BC19">
        <v>2529</v>
      </c>
      <c r="BD19">
        <v>50598</v>
      </c>
      <c r="BE19">
        <v>50598</v>
      </c>
      <c r="BF19">
        <v>31658</v>
      </c>
      <c r="BG19">
        <v>497</v>
      </c>
      <c r="BH19">
        <v>185</v>
      </c>
      <c r="BI19">
        <v>69</v>
      </c>
      <c r="BJ19">
        <v>159</v>
      </c>
      <c r="BK19">
        <v>35</v>
      </c>
      <c r="BL19">
        <v>1542184</v>
      </c>
      <c r="BM19">
        <v>55320</v>
      </c>
      <c r="BN19">
        <v>155534</v>
      </c>
      <c r="BO19">
        <v>16048</v>
      </c>
      <c r="BP19">
        <v>108</v>
      </c>
      <c r="BQ19">
        <v>2390</v>
      </c>
      <c r="BR19">
        <v>881</v>
      </c>
      <c r="BS19">
        <v>3124</v>
      </c>
    </row>
    <row r="20" spans="1:71">
      <c r="A20">
        <v>17</v>
      </c>
      <c r="B20" t="s">
        <v>86</v>
      </c>
      <c r="C20">
        <v>417.7</v>
      </c>
      <c r="D20">
        <v>323.5</v>
      </c>
      <c r="E20">
        <v>191.8</v>
      </c>
      <c r="F20">
        <v>94.1</v>
      </c>
      <c r="G20">
        <v>426.2</v>
      </c>
      <c r="H20">
        <v>214.2</v>
      </c>
      <c r="I20">
        <v>114.2</v>
      </c>
      <c r="J20">
        <v>85.7</v>
      </c>
      <c r="K20">
        <v>14.3</v>
      </c>
      <c r="L20">
        <v>214.2</v>
      </c>
      <c r="M20">
        <v>125.1</v>
      </c>
      <c r="N20">
        <v>20.6</v>
      </c>
      <c r="O20">
        <v>42.9</v>
      </c>
      <c r="P20">
        <v>25.4</v>
      </c>
      <c r="Q20">
        <v>218.6</v>
      </c>
      <c r="R20">
        <v>7579.6</v>
      </c>
      <c r="S20">
        <v>385.5</v>
      </c>
      <c r="T20">
        <v>4299.8999999999996</v>
      </c>
      <c r="U20">
        <v>250.5</v>
      </c>
      <c r="V20">
        <v>33.5</v>
      </c>
      <c r="W20">
        <v>2470.6999999999998</v>
      </c>
      <c r="X20">
        <v>415</v>
      </c>
      <c r="Y20">
        <v>868.5</v>
      </c>
      <c r="Z20">
        <v>2136370</v>
      </c>
      <c r="AA20">
        <v>66802</v>
      </c>
      <c r="AB20">
        <v>340526</v>
      </c>
      <c r="AC20">
        <v>856264</v>
      </c>
      <c r="AD20">
        <v>740508</v>
      </c>
      <c r="AE20">
        <v>132270</v>
      </c>
      <c r="AF20">
        <v>5767.4</v>
      </c>
      <c r="AG20">
        <v>571.1</v>
      </c>
      <c r="AH20">
        <v>147.5</v>
      </c>
      <c r="AI20">
        <v>65.5</v>
      </c>
      <c r="AJ20">
        <v>45.2</v>
      </c>
      <c r="AK20">
        <v>312.89999999999998</v>
      </c>
      <c r="AL20">
        <v>59058</v>
      </c>
      <c r="AM20">
        <v>35380</v>
      </c>
      <c r="AN20">
        <v>4383</v>
      </c>
      <c r="AO20">
        <v>2316</v>
      </c>
      <c r="AP20">
        <v>12166</v>
      </c>
      <c r="AQ20">
        <v>4813</v>
      </c>
      <c r="AR20">
        <v>223400</v>
      </c>
      <c r="AS20">
        <v>19170</v>
      </c>
      <c r="AT20">
        <v>161095</v>
      </c>
      <c r="AU20">
        <v>862</v>
      </c>
      <c r="AV20">
        <v>3</v>
      </c>
      <c r="AW20">
        <v>42271</v>
      </c>
      <c r="AX20">
        <v>86702</v>
      </c>
      <c r="AY20">
        <v>2472</v>
      </c>
      <c r="AZ20">
        <v>1282</v>
      </c>
      <c r="BA20">
        <v>477</v>
      </c>
      <c r="BB20">
        <v>83517</v>
      </c>
      <c r="BC20">
        <v>2018</v>
      </c>
      <c r="BD20">
        <v>59058</v>
      </c>
      <c r="BE20">
        <v>59058</v>
      </c>
      <c r="BF20">
        <v>20449</v>
      </c>
      <c r="BG20">
        <v>568</v>
      </c>
      <c r="BH20">
        <v>185</v>
      </c>
      <c r="BI20">
        <v>18</v>
      </c>
      <c r="BJ20">
        <v>165</v>
      </c>
      <c r="BK20">
        <v>60</v>
      </c>
      <c r="BL20">
        <v>1699957</v>
      </c>
      <c r="BM20">
        <v>46992</v>
      </c>
      <c r="BN20">
        <v>168786</v>
      </c>
      <c r="BO20">
        <v>21009</v>
      </c>
      <c r="BP20">
        <v>47</v>
      </c>
      <c r="BQ20">
        <v>78</v>
      </c>
      <c r="BR20">
        <v>344</v>
      </c>
      <c r="BS20">
        <v>1200</v>
      </c>
    </row>
    <row r="21" spans="1:71">
      <c r="A21">
        <v>18</v>
      </c>
      <c r="B21" t="s">
        <v>87</v>
      </c>
      <c r="C21">
        <v>918.2</v>
      </c>
      <c r="D21">
        <v>895.8</v>
      </c>
      <c r="E21">
        <v>283.7</v>
      </c>
      <c r="F21">
        <v>22.4</v>
      </c>
      <c r="G21">
        <v>1573.3</v>
      </c>
      <c r="H21">
        <v>340.2</v>
      </c>
      <c r="I21">
        <v>329</v>
      </c>
      <c r="J21">
        <v>4.2</v>
      </c>
      <c r="K21">
        <v>7</v>
      </c>
      <c r="L21">
        <v>340.2</v>
      </c>
      <c r="M21">
        <v>190.9</v>
      </c>
      <c r="N21">
        <v>70.099999999999994</v>
      </c>
      <c r="O21">
        <v>52.5</v>
      </c>
      <c r="P21">
        <v>26.6</v>
      </c>
      <c r="Q21">
        <v>582.9</v>
      </c>
      <c r="R21">
        <v>4752</v>
      </c>
      <c r="S21">
        <v>474.4</v>
      </c>
      <c r="T21">
        <v>9292.5</v>
      </c>
      <c r="U21">
        <v>98.2</v>
      </c>
      <c r="V21">
        <v>47</v>
      </c>
      <c r="W21">
        <v>1428.3</v>
      </c>
      <c r="X21">
        <v>364.4</v>
      </c>
      <c r="Y21">
        <v>1949.1</v>
      </c>
      <c r="Z21">
        <v>3421650</v>
      </c>
      <c r="AA21">
        <v>454325</v>
      </c>
      <c r="AB21">
        <v>22410</v>
      </c>
      <c r="AC21">
        <v>2249615</v>
      </c>
      <c r="AD21">
        <v>547146</v>
      </c>
      <c r="AE21">
        <v>148154</v>
      </c>
      <c r="AF21">
        <v>3226.9</v>
      </c>
      <c r="AG21">
        <v>249.9</v>
      </c>
      <c r="AH21">
        <v>79.8</v>
      </c>
      <c r="AI21">
        <v>29.4</v>
      </c>
      <c r="AJ21">
        <v>20.399999999999999</v>
      </c>
      <c r="AK21">
        <v>120.4</v>
      </c>
      <c r="AL21">
        <v>21759</v>
      </c>
      <c r="AM21">
        <v>16923</v>
      </c>
      <c r="AN21">
        <v>733</v>
      </c>
      <c r="AO21">
        <v>2644</v>
      </c>
      <c r="AP21">
        <v>387</v>
      </c>
      <c r="AQ21">
        <v>1072</v>
      </c>
      <c r="AR21">
        <v>105260</v>
      </c>
      <c r="AS21">
        <v>25572</v>
      </c>
      <c r="AT21">
        <v>68982</v>
      </c>
      <c r="AU21">
        <v>447</v>
      </c>
      <c r="AV21">
        <v>114</v>
      </c>
      <c r="AW21">
        <v>10145</v>
      </c>
      <c r="AX21">
        <v>38897</v>
      </c>
      <c r="AY21">
        <v>1268</v>
      </c>
      <c r="AZ21">
        <v>605</v>
      </c>
      <c r="BA21">
        <v>173</v>
      </c>
      <c r="BB21">
        <v>37036</v>
      </c>
      <c r="BC21">
        <v>1131</v>
      </c>
      <c r="BD21">
        <v>21759</v>
      </c>
      <c r="BE21">
        <v>21759</v>
      </c>
      <c r="BF21">
        <v>13038</v>
      </c>
      <c r="BG21">
        <v>446</v>
      </c>
      <c r="BH21">
        <v>121</v>
      </c>
      <c r="BI21">
        <v>53</v>
      </c>
      <c r="BJ21">
        <v>102</v>
      </c>
      <c r="BK21">
        <v>73</v>
      </c>
      <c r="BL21">
        <v>1490235</v>
      </c>
      <c r="BM21">
        <v>48609</v>
      </c>
      <c r="BN21">
        <v>174567</v>
      </c>
      <c r="BO21">
        <v>24650</v>
      </c>
      <c r="BP21">
        <v>57</v>
      </c>
      <c r="BQ21">
        <v>1035</v>
      </c>
      <c r="BR21">
        <v>1733</v>
      </c>
      <c r="BS21">
        <v>1339</v>
      </c>
    </row>
    <row r="22" spans="1:71">
      <c r="A22">
        <v>19</v>
      </c>
      <c r="B22" t="s">
        <v>88</v>
      </c>
      <c r="C22">
        <v>2087.5</v>
      </c>
      <c r="D22">
        <v>2079.6999999999998</v>
      </c>
      <c r="E22">
        <v>451.4</v>
      </c>
      <c r="F22">
        <v>7.8</v>
      </c>
      <c r="G22">
        <v>3185.3</v>
      </c>
      <c r="H22">
        <v>298.7</v>
      </c>
      <c r="I22">
        <v>286.89999999999998</v>
      </c>
      <c r="J22">
        <v>5.2</v>
      </c>
      <c r="K22">
        <v>6.6</v>
      </c>
      <c r="L22">
        <v>298.7</v>
      </c>
      <c r="M22">
        <v>193.5</v>
      </c>
      <c r="N22">
        <v>44.4</v>
      </c>
      <c r="O22">
        <v>46.1</v>
      </c>
      <c r="P22">
        <v>14.8</v>
      </c>
      <c r="Q22">
        <v>455.8</v>
      </c>
      <c r="R22">
        <v>3666.6</v>
      </c>
      <c r="S22">
        <v>906.2</v>
      </c>
      <c r="T22">
        <v>12612.5</v>
      </c>
      <c r="U22">
        <v>141.5</v>
      </c>
      <c r="V22">
        <v>230.9</v>
      </c>
      <c r="W22">
        <v>1645.2</v>
      </c>
      <c r="X22">
        <v>398.5</v>
      </c>
      <c r="Y22">
        <v>1250.2</v>
      </c>
      <c r="Z22">
        <v>684706</v>
      </c>
      <c r="AA22">
        <v>77212</v>
      </c>
      <c r="AB22">
        <v>22410</v>
      </c>
      <c r="AC22">
        <v>520435</v>
      </c>
      <c r="AD22">
        <v>29349</v>
      </c>
      <c r="AE22">
        <v>57710</v>
      </c>
      <c r="AF22">
        <v>2932</v>
      </c>
      <c r="AG22">
        <v>211.8</v>
      </c>
      <c r="AH22">
        <v>58.9</v>
      </c>
      <c r="AI22">
        <v>13.9</v>
      </c>
      <c r="AJ22">
        <v>26.9</v>
      </c>
      <c r="AK22">
        <v>112.1</v>
      </c>
      <c r="AL22">
        <v>35502</v>
      </c>
      <c r="AM22">
        <v>24550</v>
      </c>
      <c r="AN22">
        <v>2480</v>
      </c>
      <c r="AO22">
        <v>374</v>
      </c>
      <c r="AP22">
        <v>5225</v>
      </c>
      <c r="AQ22">
        <v>2873</v>
      </c>
      <c r="AR22">
        <v>298433</v>
      </c>
      <c r="AS22">
        <v>5063</v>
      </c>
      <c r="AT22">
        <v>216775</v>
      </c>
      <c r="AU22">
        <v>53424</v>
      </c>
      <c r="AV22" t="s">
        <v>71</v>
      </c>
      <c r="AW22">
        <v>23171</v>
      </c>
      <c r="AX22">
        <v>57611</v>
      </c>
      <c r="AY22">
        <v>1763</v>
      </c>
      <c r="AZ22">
        <v>822</v>
      </c>
      <c r="BA22">
        <v>225</v>
      </c>
      <c r="BB22">
        <v>55275</v>
      </c>
      <c r="BC22">
        <v>1103</v>
      </c>
      <c r="BD22">
        <v>35502</v>
      </c>
      <c r="BE22">
        <v>35502</v>
      </c>
      <c r="BF22">
        <v>16671</v>
      </c>
      <c r="BG22">
        <v>458</v>
      </c>
      <c r="BH22">
        <v>146</v>
      </c>
      <c r="BI22">
        <v>62</v>
      </c>
      <c r="BJ22">
        <v>140</v>
      </c>
      <c r="BK22">
        <v>67</v>
      </c>
      <c r="BL22">
        <v>1732340</v>
      </c>
      <c r="BM22">
        <v>70723</v>
      </c>
      <c r="BN22">
        <v>206064</v>
      </c>
      <c r="BO22">
        <v>28663</v>
      </c>
      <c r="BP22">
        <v>72</v>
      </c>
      <c r="BQ22">
        <v>908</v>
      </c>
      <c r="BR22">
        <v>451</v>
      </c>
      <c r="BS22">
        <v>3328</v>
      </c>
    </row>
    <row r="23" spans="1:71">
      <c r="A23">
        <v>20</v>
      </c>
      <c r="B23" t="s">
        <v>89</v>
      </c>
      <c r="C23">
        <v>2349.1</v>
      </c>
      <c r="D23">
        <v>2339.4</v>
      </c>
      <c r="E23">
        <v>555.70000000000005</v>
      </c>
      <c r="F23">
        <v>9.6999999999999993</v>
      </c>
      <c r="G23">
        <v>1843.4</v>
      </c>
      <c r="H23">
        <v>411.3</v>
      </c>
      <c r="I23">
        <v>379.4</v>
      </c>
      <c r="J23">
        <v>5.4</v>
      </c>
      <c r="K23">
        <v>26.5</v>
      </c>
      <c r="L23">
        <v>411.3</v>
      </c>
      <c r="M23">
        <v>194.8</v>
      </c>
      <c r="N23">
        <v>73</v>
      </c>
      <c r="O23">
        <v>117.1</v>
      </c>
      <c r="P23">
        <v>26.3</v>
      </c>
      <c r="Q23">
        <v>322.8</v>
      </c>
      <c r="R23">
        <v>1914.7</v>
      </c>
      <c r="S23">
        <v>1282.9000000000001</v>
      </c>
      <c r="T23">
        <v>10698.5</v>
      </c>
      <c r="U23">
        <v>244</v>
      </c>
      <c r="V23">
        <v>176.3</v>
      </c>
      <c r="W23">
        <v>1849.6</v>
      </c>
      <c r="X23">
        <v>374.3</v>
      </c>
      <c r="Y23">
        <v>1322.7</v>
      </c>
      <c r="Z23">
        <v>2577356</v>
      </c>
      <c r="AA23">
        <v>196177</v>
      </c>
      <c r="AB23">
        <v>340526</v>
      </c>
      <c r="AC23">
        <v>2092772</v>
      </c>
      <c r="AD23">
        <v>171500</v>
      </c>
      <c r="AE23">
        <v>116907</v>
      </c>
      <c r="AF23">
        <v>1560.9</v>
      </c>
      <c r="AG23">
        <v>204.9</v>
      </c>
      <c r="AH23">
        <v>76.099999999999994</v>
      </c>
      <c r="AI23">
        <v>24.5</v>
      </c>
      <c r="AJ23">
        <v>39.4</v>
      </c>
      <c r="AK23">
        <v>64.900000000000006</v>
      </c>
      <c r="AL23">
        <v>24921</v>
      </c>
      <c r="AM23">
        <v>12604</v>
      </c>
      <c r="AN23">
        <v>2888</v>
      </c>
      <c r="AO23">
        <v>213</v>
      </c>
      <c r="AP23">
        <v>5202</v>
      </c>
      <c r="AQ23">
        <v>4014</v>
      </c>
      <c r="AR23">
        <v>305089</v>
      </c>
      <c r="AS23">
        <v>175457</v>
      </c>
      <c r="AT23">
        <v>96588</v>
      </c>
      <c r="AU23">
        <v>50</v>
      </c>
      <c r="AV23">
        <v>90</v>
      </c>
      <c r="AW23">
        <v>32904</v>
      </c>
      <c r="AX23">
        <v>66125</v>
      </c>
      <c r="AY23">
        <v>1895</v>
      </c>
      <c r="AZ23">
        <v>971</v>
      </c>
      <c r="BA23">
        <v>208</v>
      </c>
      <c r="BB23">
        <v>63170</v>
      </c>
      <c r="BC23">
        <v>2816</v>
      </c>
      <c r="BD23">
        <v>24921</v>
      </c>
      <c r="BE23">
        <v>24921</v>
      </c>
      <c r="BF23">
        <v>34273</v>
      </c>
      <c r="BG23">
        <v>662</v>
      </c>
      <c r="BH23">
        <v>147</v>
      </c>
      <c r="BI23">
        <v>121</v>
      </c>
      <c r="BJ23">
        <v>132</v>
      </c>
      <c r="BK23">
        <v>85</v>
      </c>
      <c r="BL23">
        <v>1706500</v>
      </c>
      <c r="BM23">
        <v>97879</v>
      </c>
      <c r="BN23">
        <v>280421</v>
      </c>
      <c r="BO23">
        <v>33917</v>
      </c>
      <c r="BP23">
        <v>121</v>
      </c>
      <c r="BQ23">
        <v>1782</v>
      </c>
      <c r="BR23">
        <v>4236</v>
      </c>
      <c r="BS23">
        <v>5999</v>
      </c>
    </row>
    <row r="24" spans="1:71">
      <c r="A24">
        <v>21</v>
      </c>
      <c r="B24" t="s">
        <v>90</v>
      </c>
      <c r="C24">
        <v>2467</v>
      </c>
      <c r="D24">
        <v>2465.9</v>
      </c>
      <c r="E24">
        <v>426.3</v>
      </c>
      <c r="F24">
        <v>1.1000000000000001</v>
      </c>
      <c r="G24">
        <v>4914.3</v>
      </c>
      <c r="H24">
        <v>250.5</v>
      </c>
      <c r="I24">
        <v>240.2</v>
      </c>
      <c r="J24">
        <v>5.2</v>
      </c>
      <c r="K24">
        <v>5</v>
      </c>
      <c r="L24">
        <v>250.5</v>
      </c>
      <c r="M24">
        <v>179.6</v>
      </c>
      <c r="N24">
        <v>28.7</v>
      </c>
      <c r="O24">
        <v>35.799999999999997</v>
      </c>
      <c r="P24">
        <v>6.3</v>
      </c>
      <c r="Q24">
        <v>499</v>
      </c>
      <c r="R24">
        <v>3286.7</v>
      </c>
      <c r="S24">
        <v>1625.3</v>
      </c>
      <c r="T24">
        <v>16025.4</v>
      </c>
      <c r="U24">
        <v>287</v>
      </c>
      <c r="V24">
        <v>125.6</v>
      </c>
      <c r="W24">
        <v>1034.5999999999999</v>
      </c>
      <c r="X24">
        <v>416</v>
      </c>
      <c r="Y24">
        <v>750.7</v>
      </c>
      <c r="Z24">
        <v>1044628</v>
      </c>
      <c r="AA24">
        <v>80767</v>
      </c>
      <c r="AB24">
        <v>340526</v>
      </c>
      <c r="AC24">
        <v>762239</v>
      </c>
      <c r="AD24">
        <v>96746</v>
      </c>
      <c r="AE24">
        <v>104876</v>
      </c>
      <c r="AF24">
        <v>1778.3</v>
      </c>
      <c r="AG24">
        <v>247.9</v>
      </c>
      <c r="AH24">
        <v>62.7</v>
      </c>
      <c r="AI24">
        <v>25.4</v>
      </c>
      <c r="AJ24">
        <v>47.8</v>
      </c>
      <c r="AK24">
        <v>112</v>
      </c>
      <c r="AL24">
        <v>17814</v>
      </c>
      <c r="AM24">
        <v>12930</v>
      </c>
      <c r="AN24">
        <v>1306</v>
      </c>
      <c r="AO24">
        <v>32</v>
      </c>
      <c r="AP24">
        <v>3421</v>
      </c>
      <c r="AQ24">
        <v>125</v>
      </c>
      <c r="AR24">
        <v>83097</v>
      </c>
      <c r="AS24">
        <v>72</v>
      </c>
      <c r="AT24">
        <v>25219</v>
      </c>
      <c r="AU24">
        <v>4794</v>
      </c>
      <c r="AV24" t="s">
        <v>71</v>
      </c>
      <c r="AW24">
        <v>53013</v>
      </c>
      <c r="AX24">
        <v>34685</v>
      </c>
      <c r="AY24">
        <v>929</v>
      </c>
      <c r="AZ24">
        <v>464</v>
      </c>
      <c r="BA24">
        <v>126</v>
      </c>
      <c r="BB24">
        <v>33324</v>
      </c>
      <c r="BC24">
        <v>360</v>
      </c>
      <c r="BD24">
        <v>17814</v>
      </c>
      <c r="BE24">
        <v>17814</v>
      </c>
      <c r="BF24">
        <v>13885</v>
      </c>
      <c r="BG24">
        <v>352</v>
      </c>
      <c r="BH24">
        <v>122</v>
      </c>
      <c r="BI24">
        <v>24</v>
      </c>
      <c r="BJ24">
        <v>106</v>
      </c>
      <c r="BK24">
        <v>55</v>
      </c>
      <c r="BL24">
        <v>1005915</v>
      </c>
      <c r="BM24">
        <v>59270</v>
      </c>
      <c r="BN24">
        <v>205939</v>
      </c>
      <c r="BO24">
        <v>25624</v>
      </c>
      <c r="BP24">
        <v>23</v>
      </c>
      <c r="BQ24">
        <v>377</v>
      </c>
      <c r="BR24">
        <v>921</v>
      </c>
      <c r="BS24">
        <v>1432</v>
      </c>
    </row>
    <row r="25" spans="1:71">
      <c r="A25">
        <v>22</v>
      </c>
      <c r="B25" t="s">
        <v>91</v>
      </c>
      <c r="C25">
        <v>439.7</v>
      </c>
      <c r="D25">
        <v>431.8</v>
      </c>
      <c r="E25">
        <v>115.9</v>
      </c>
      <c r="F25">
        <v>7.9</v>
      </c>
      <c r="G25">
        <v>4205.6000000000004</v>
      </c>
      <c r="H25">
        <v>44.4</v>
      </c>
      <c r="I25">
        <v>42.2</v>
      </c>
      <c r="J25">
        <v>1.4</v>
      </c>
      <c r="K25">
        <v>0.8</v>
      </c>
      <c r="L25">
        <v>44.4</v>
      </c>
      <c r="M25">
        <v>29.9</v>
      </c>
      <c r="N25">
        <v>1.7</v>
      </c>
      <c r="O25">
        <v>10.4</v>
      </c>
      <c r="P25">
        <v>2.4</v>
      </c>
      <c r="Q25">
        <v>424.7</v>
      </c>
      <c r="R25">
        <v>494.8</v>
      </c>
      <c r="S25">
        <v>1220.5999999999999</v>
      </c>
      <c r="T25">
        <v>1142.3</v>
      </c>
      <c r="U25">
        <v>18.3</v>
      </c>
      <c r="V25">
        <v>121.5</v>
      </c>
      <c r="W25">
        <v>253.2</v>
      </c>
      <c r="X25">
        <v>65.2</v>
      </c>
      <c r="Y25">
        <v>184</v>
      </c>
      <c r="Z25">
        <v>291842</v>
      </c>
      <c r="AA25">
        <v>12776</v>
      </c>
      <c r="AB25">
        <v>340526</v>
      </c>
      <c r="AC25">
        <v>247219</v>
      </c>
      <c r="AD25">
        <v>22462</v>
      </c>
      <c r="AE25">
        <v>9385</v>
      </c>
      <c r="AF25">
        <v>336.3</v>
      </c>
      <c r="AG25">
        <v>36.4</v>
      </c>
      <c r="AH25">
        <v>9.4</v>
      </c>
      <c r="AI25">
        <v>2.2999999999999998</v>
      </c>
      <c r="AJ25">
        <v>6.6</v>
      </c>
      <c r="AK25">
        <v>18</v>
      </c>
      <c r="AL25">
        <v>2121</v>
      </c>
      <c r="AM25">
        <v>844</v>
      </c>
      <c r="AN25">
        <v>574</v>
      </c>
      <c r="AO25">
        <v>22</v>
      </c>
      <c r="AP25">
        <v>512</v>
      </c>
      <c r="AQ25">
        <v>169</v>
      </c>
      <c r="AR25">
        <v>1508</v>
      </c>
      <c r="AS25">
        <v>583</v>
      </c>
      <c r="AT25">
        <v>730</v>
      </c>
      <c r="AU25" t="s">
        <v>71</v>
      </c>
      <c r="AV25" t="s">
        <v>71</v>
      </c>
      <c r="AW25">
        <v>195</v>
      </c>
      <c r="AX25">
        <v>6382</v>
      </c>
      <c r="AY25">
        <v>247</v>
      </c>
      <c r="AZ25">
        <v>127</v>
      </c>
      <c r="BA25">
        <v>24</v>
      </c>
      <c r="BB25">
        <v>5999</v>
      </c>
      <c r="BC25">
        <v>216</v>
      </c>
      <c r="BD25">
        <v>2121</v>
      </c>
      <c r="BE25">
        <v>2121</v>
      </c>
      <c r="BF25">
        <v>3362</v>
      </c>
      <c r="BG25">
        <v>111</v>
      </c>
      <c r="BH25">
        <v>27</v>
      </c>
      <c r="BI25">
        <v>16</v>
      </c>
      <c r="BJ25">
        <v>26</v>
      </c>
      <c r="BK25">
        <v>14</v>
      </c>
      <c r="BL25">
        <v>175979</v>
      </c>
      <c r="BM25">
        <v>8004</v>
      </c>
      <c r="BN25">
        <v>30477</v>
      </c>
      <c r="BO25">
        <v>4385</v>
      </c>
      <c r="BP25">
        <v>2</v>
      </c>
      <c r="BQ25">
        <v>127</v>
      </c>
      <c r="BR25">
        <v>33</v>
      </c>
      <c r="BS25">
        <v>44</v>
      </c>
    </row>
    <row r="26" spans="1:71">
      <c r="A26">
        <v>23</v>
      </c>
      <c r="B26" t="s">
        <v>92</v>
      </c>
      <c r="C26">
        <v>469.8</v>
      </c>
      <c r="D26">
        <v>469.8</v>
      </c>
      <c r="E26">
        <v>96.2</v>
      </c>
      <c r="F26" t="s">
        <v>71</v>
      </c>
      <c r="G26">
        <v>1472.5</v>
      </c>
      <c r="H26">
        <v>71.3</v>
      </c>
      <c r="I26">
        <v>64.7</v>
      </c>
      <c r="J26">
        <v>0.3</v>
      </c>
      <c r="K26">
        <v>6.3</v>
      </c>
      <c r="L26">
        <v>71.3</v>
      </c>
      <c r="M26">
        <v>25.1</v>
      </c>
      <c r="N26">
        <v>21.8</v>
      </c>
      <c r="O26">
        <v>22.7</v>
      </c>
      <c r="P26">
        <v>1.7</v>
      </c>
      <c r="Q26">
        <v>223.5</v>
      </c>
      <c r="R26">
        <v>1869.6</v>
      </c>
      <c r="S26">
        <v>280.2</v>
      </c>
      <c r="T26">
        <v>4671</v>
      </c>
      <c r="U26">
        <v>27.5</v>
      </c>
      <c r="V26">
        <v>14.5</v>
      </c>
      <c r="W26">
        <v>640</v>
      </c>
      <c r="X26">
        <v>184.6</v>
      </c>
      <c r="Y26">
        <v>273.3</v>
      </c>
      <c r="Z26">
        <v>1580317</v>
      </c>
      <c r="AA26">
        <v>275939</v>
      </c>
      <c r="AB26">
        <v>1100</v>
      </c>
      <c r="AC26">
        <v>770490</v>
      </c>
      <c r="AD26">
        <v>409854</v>
      </c>
      <c r="AE26">
        <v>122934</v>
      </c>
      <c r="AF26">
        <v>698.4</v>
      </c>
      <c r="AG26">
        <v>88.2</v>
      </c>
      <c r="AH26">
        <v>41.6</v>
      </c>
      <c r="AI26">
        <v>15.1</v>
      </c>
      <c r="AJ26">
        <v>5.0999999999999996</v>
      </c>
      <c r="AK26">
        <v>26.4</v>
      </c>
      <c r="AL26">
        <v>9353</v>
      </c>
      <c r="AM26">
        <v>7169</v>
      </c>
      <c r="AN26">
        <v>786</v>
      </c>
      <c r="AO26">
        <v>152</v>
      </c>
      <c r="AP26">
        <v>404</v>
      </c>
      <c r="AQ26">
        <v>842</v>
      </c>
      <c r="AR26">
        <v>10537</v>
      </c>
      <c r="AS26">
        <v>113</v>
      </c>
      <c r="AT26">
        <v>10410</v>
      </c>
      <c r="AU26">
        <v>8</v>
      </c>
      <c r="AV26" t="s">
        <v>71</v>
      </c>
      <c r="AW26">
        <v>6</v>
      </c>
      <c r="AX26">
        <v>23815</v>
      </c>
      <c r="AY26">
        <v>851</v>
      </c>
      <c r="AZ26">
        <v>433</v>
      </c>
      <c r="BA26">
        <v>143</v>
      </c>
      <c r="BB26">
        <v>22734</v>
      </c>
      <c r="BC26">
        <v>620</v>
      </c>
      <c r="BD26">
        <v>9353</v>
      </c>
      <c r="BE26">
        <v>9353</v>
      </c>
      <c r="BF26">
        <v>11972</v>
      </c>
      <c r="BG26">
        <v>121</v>
      </c>
      <c r="BH26">
        <v>41</v>
      </c>
      <c r="BI26">
        <v>8</v>
      </c>
      <c r="BJ26">
        <v>40</v>
      </c>
      <c r="BK26">
        <v>6</v>
      </c>
      <c r="BL26">
        <v>429462</v>
      </c>
      <c r="BM26">
        <v>24196</v>
      </c>
      <c r="BN26">
        <v>65315</v>
      </c>
      <c r="BO26">
        <v>6565</v>
      </c>
      <c r="BP26">
        <v>115</v>
      </c>
      <c r="BQ26">
        <v>3664</v>
      </c>
      <c r="BR26">
        <v>483</v>
      </c>
      <c r="BS26">
        <v>251</v>
      </c>
    </row>
    <row r="27" spans="1:71">
      <c r="A27">
        <v>24</v>
      </c>
      <c r="B27" t="s">
        <v>93</v>
      </c>
      <c r="C27">
        <v>2434.4</v>
      </c>
      <c r="D27">
        <v>2433.1</v>
      </c>
      <c r="E27">
        <v>605.9</v>
      </c>
      <c r="F27">
        <v>1.2</v>
      </c>
      <c r="G27">
        <v>2909.9</v>
      </c>
      <c r="H27">
        <v>255.2</v>
      </c>
      <c r="I27">
        <v>241.6</v>
      </c>
      <c r="J27">
        <v>5.3</v>
      </c>
      <c r="K27">
        <v>8.4</v>
      </c>
      <c r="L27">
        <v>255.2</v>
      </c>
      <c r="M27">
        <v>163</v>
      </c>
      <c r="N27">
        <v>20.7</v>
      </c>
      <c r="O27">
        <v>61.3</v>
      </c>
      <c r="P27">
        <v>10.199999999999999</v>
      </c>
      <c r="Q27">
        <v>305</v>
      </c>
      <c r="R27">
        <v>5252.6</v>
      </c>
      <c r="S27">
        <v>1185.4000000000001</v>
      </c>
      <c r="T27">
        <v>25387.1</v>
      </c>
      <c r="U27">
        <v>9607.1</v>
      </c>
      <c r="V27">
        <v>1228.4000000000001</v>
      </c>
      <c r="W27">
        <v>1872.1</v>
      </c>
      <c r="X27">
        <v>567</v>
      </c>
      <c r="Y27">
        <v>1080.5</v>
      </c>
      <c r="Z27">
        <v>6209515</v>
      </c>
      <c r="AA27">
        <v>823091</v>
      </c>
      <c r="AB27">
        <v>33945</v>
      </c>
      <c r="AC27">
        <v>3127361</v>
      </c>
      <c r="AD27">
        <v>1140626</v>
      </c>
      <c r="AE27">
        <v>1084492</v>
      </c>
      <c r="AF27">
        <v>3025.7</v>
      </c>
      <c r="AG27">
        <v>200.3</v>
      </c>
      <c r="AH27">
        <v>73.099999999999994</v>
      </c>
      <c r="AI27">
        <v>30.5</v>
      </c>
      <c r="AJ27">
        <v>13.8</v>
      </c>
      <c r="AK27">
        <v>82.9</v>
      </c>
      <c r="AL27">
        <v>40229</v>
      </c>
      <c r="AM27">
        <v>23118</v>
      </c>
      <c r="AN27">
        <v>3153</v>
      </c>
      <c r="AO27">
        <v>1328</v>
      </c>
      <c r="AP27">
        <v>7996</v>
      </c>
      <c r="AQ27">
        <v>4634</v>
      </c>
      <c r="AR27">
        <v>430025</v>
      </c>
      <c r="AS27">
        <v>72276</v>
      </c>
      <c r="AT27">
        <v>345353</v>
      </c>
      <c r="AU27">
        <v>13</v>
      </c>
      <c r="AV27" t="s">
        <v>71</v>
      </c>
      <c r="AW27">
        <v>12382</v>
      </c>
      <c r="AX27">
        <v>74797</v>
      </c>
      <c r="AY27">
        <v>2421</v>
      </c>
      <c r="AZ27">
        <v>1341</v>
      </c>
      <c r="BA27">
        <v>284</v>
      </c>
      <c r="BB27">
        <v>71467</v>
      </c>
      <c r="BC27">
        <v>1101</v>
      </c>
      <c r="BD27">
        <v>40229</v>
      </c>
      <c r="BE27">
        <v>40229</v>
      </c>
      <c r="BF27">
        <v>27380</v>
      </c>
      <c r="BG27">
        <v>672</v>
      </c>
      <c r="BH27">
        <v>212</v>
      </c>
      <c r="BI27">
        <v>20</v>
      </c>
      <c r="BJ27">
        <v>202</v>
      </c>
      <c r="BK27">
        <v>150</v>
      </c>
      <c r="BL27">
        <v>1473764</v>
      </c>
      <c r="BM27">
        <v>67372</v>
      </c>
      <c r="BN27">
        <v>193442</v>
      </c>
      <c r="BO27">
        <v>21037</v>
      </c>
      <c r="BP27">
        <v>81</v>
      </c>
      <c r="BQ27">
        <v>784</v>
      </c>
      <c r="BR27">
        <v>91</v>
      </c>
      <c r="BS27">
        <v>836</v>
      </c>
    </row>
    <row r="28" spans="1:71">
      <c r="A28">
        <v>25</v>
      </c>
      <c r="B28" t="s">
        <v>94</v>
      </c>
      <c r="C28">
        <v>969.1</v>
      </c>
      <c r="D28">
        <v>969.1</v>
      </c>
      <c r="E28">
        <v>238</v>
      </c>
      <c r="F28" t="s">
        <v>71</v>
      </c>
      <c r="G28">
        <v>2509</v>
      </c>
      <c r="H28">
        <v>93</v>
      </c>
      <c r="I28">
        <v>90.3</v>
      </c>
      <c r="J28">
        <v>1.2</v>
      </c>
      <c r="K28">
        <v>1.5</v>
      </c>
      <c r="L28">
        <v>93</v>
      </c>
      <c r="M28">
        <v>59.5</v>
      </c>
      <c r="N28">
        <v>10.3</v>
      </c>
      <c r="O28">
        <v>22.1</v>
      </c>
      <c r="P28">
        <v>1.1000000000000001</v>
      </c>
      <c r="Q28">
        <v>240.8</v>
      </c>
      <c r="R28">
        <v>3415.2</v>
      </c>
      <c r="S28">
        <v>563.29999999999995</v>
      </c>
      <c r="T28">
        <v>11213.6</v>
      </c>
      <c r="U28">
        <v>195.2</v>
      </c>
      <c r="V28">
        <v>7</v>
      </c>
      <c r="W28">
        <v>788.1</v>
      </c>
      <c r="X28">
        <v>373.7</v>
      </c>
      <c r="Y28">
        <v>264.89999999999998</v>
      </c>
      <c r="Z28">
        <v>604915</v>
      </c>
      <c r="AA28">
        <v>116190</v>
      </c>
      <c r="AB28">
        <v>5472</v>
      </c>
      <c r="AC28">
        <v>418125</v>
      </c>
      <c r="AD28">
        <v>19070</v>
      </c>
      <c r="AE28">
        <v>46058</v>
      </c>
      <c r="AF28">
        <v>1244.0999999999999</v>
      </c>
      <c r="AG28">
        <v>73.599999999999994</v>
      </c>
      <c r="AH28">
        <v>29.4</v>
      </c>
      <c r="AI28">
        <v>7.9</v>
      </c>
      <c r="AJ28">
        <v>6.5</v>
      </c>
      <c r="AK28">
        <v>29.7</v>
      </c>
      <c r="AL28">
        <v>18972</v>
      </c>
      <c r="AM28">
        <v>11623</v>
      </c>
      <c r="AN28">
        <v>516</v>
      </c>
      <c r="AO28">
        <v>230</v>
      </c>
      <c r="AP28">
        <v>3233</v>
      </c>
      <c r="AQ28">
        <v>3370</v>
      </c>
      <c r="AR28">
        <v>153814</v>
      </c>
      <c r="AS28">
        <v>59376</v>
      </c>
      <c r="AT28">
        <v>20892</v>
      </c>
      <c r="AU28">
        <v>13</v>
      </c>
      <c r="AV28">
        <v>5</v>
      </c>
      <c r="AW28">
        <v>73541</v>
      </c>
      <c r="AX28">
        <v>30869</v>
      </c>
      <c r="AY28">
        <v>1572</v>
      </c>
      <c r="AZ28">
        <v>1029</v>
      </c>
      <c r="BA28">
        <v>156</v>
      </c>
      <c r="BB28">
        <v>28951</v>
      </c>
      <c r="BC28">
        <v>1097</v>
      </c>
      <c r="BD28">
        <v>18972</v>
      </c>
      <c r="BE28">
        <v>18972</v>
      </c>
      <c r="BF28">
        <v>18972</v>
      </c>
      <c r="BG28">
        <v>282</v>
      </c>
      <c r="BH28">
        <v>101</v>
      </c>
      <c r="BI28">
        <v>4</v>
      </c>
      <c r="BJ28">
        <v>99</v>
      </c>
      <c r="BK28">
        <v>22</v>
      </c>
      <c r="BL28">
        <v>1179543</v>
      </c>
      <c r="BM28">
        <v>34203</v>
      </c>
      <c r="BN28">
        <v>107413</v>
      </c>
      <c r="BO28">
        <v>15993</v>
      </c>
      <c r="BP28">
        <v>14</v>
      </c>
      <c r="BQ28">
        <v>329</v>
      </c>
      <c r="BR28">
        <v>397</v>
      </c>
      <c r="BS28">
        <v>725</v>
      </c>
    </row>
    <row r="29" spans="1:71">
      <c r="A29">
        <v>26</v>
      </c>
      <c r="B29" t="s">
        <v>95</v>
      </c>
      <c r="C29">
        <v>1760.4</v>
      </c>
      <c r="D29">
        <v>1760.4</v>
      </c>
      <c r="E29">
        <v>595.70000000000005</v>
      </c>
      <c r="F29" t="s">
        <v>71</v>
      </c>
      <c r="G29">
        <v>3774.4</v>
      </c>
      <c r="H29">
        <v>160.5</v>
      </c>
      <c r="I29">
        <v>152.1</v>
      </c>
      <c r="J29">
        <v>4.7</v>
      </c>
      <c r="K29">
        <v>3.7</v>
      </c>
      <c r="L29">
        <v>160.5</v>
      </c>
      <c r="M29">
        <v>113.3</v>
      </c>
      <c r="N29">
        <v>12.4</v>
      </c>
      <c r="O29">
        <v>26.8</v>
      </c>
      <c r="P29">
        <v>8.1</v>
      </c>
      <c r="Q29">
        <v>344.1</v>
      </c>
      <c r="R29">
        <v>5484.5</v>
      </c>
      <c r="S29">
        <v>2517.1</v>
      </c>
      <c r="T29">
        <v>24797.599999999999</v>
      </c>
      <c r="U29">
        <v>1311.8</v>
      </c>
      <c r="V29">
        <v>35</v>
      </c>
      <c r="W29">
        <v>1116</v>
      </c>
      <c r="X29">
        <v>573.79999999999995</v>
      </c>
      <c r="Y29">
        <v>631.29999999999995</v>
      </c>
      <c r="Z29">
        <v>1252307</v>
      </c>
      <c r="AA29">
        <v>153247</v>
      </c>
      <c r="AB29">
        <v>340526</v>
      </c>
      <c r="AC29">
        <v>890299</v>
      </c>
      <c r="AD29">
        <v>122987</v>
      </c>
      <c r="AE29">
        <v>85774</v>
      </c>
      <c r="AF29">
        <v>2057.5</v>
      </c>
      <c r="AG29">
        <v>177.5</v>
      </c>
      <c r="AH29">
        <v>79.5</v>
      </c>
      <c r="AI29">
        <v>23</v>
      </c>
      <c r="AJ29">
        <v>20.2</v>
      </c>
      <c r="AK29">
        <v>54.8</v>
      </c>
      <c r="AL29">
        <v>13513</v>
      </c>
      <c r="AM29">
        <v>9855</v>
      </c>
      <c r="AN29">
        <v>1851</v>
      </c>
      <c r="AO29">
        <v>667</v>
      </c>
      <c r="AP29">
        <v>149</v>
      </c>
      <c r="AQ29">
        <v>991</v>
      </c>
      <c r="AR29">
        <v>112873</v>
      </c>
      <c r="AS29">
        <v>7004</v>
      </c>
      <c r="AT29">
        <v>81892</v>
      </c>
      <c r="AU29">
        <v>10760</v>
      </c>
      <c r="AV29">
        <v>359</v>
      </c>
      <c r="AW29">
        <v>12857</v>
      </c>
      <c r="AX29">
        <v>29667</v>
      </c>
      <c r="AY29">
        <v>1390</v>
      </c>
      <c r="AZ29">
        <v>837</v>
      </c>
      <c r="BA29">
        <v>171</v>
      </c>
      <c r="BB29">
        <v>27662</v>
      </c>
      <c r="BC29">
        <v>669</v>
      </c>
      <c r="BD29">
        <v>13513</v>
      </c>
      <c r="BE29">
        <v>13513</v>
      </c>
      <c r="BF29">
        <v>12121</v>
      </c>
      <c r="BG29">
        <v>533</v>
      </c>
      <c r="BH29">
        <v>149</v>
      </c>
      <c r="BI29">
        <v>25</v>
      </c>
      <c r="BJ29">
        <v>146</v>
      </c>
      <c r="BK29">
        <v>123</v>
      </c>
      <c r="BL29">
        <v>772366</v>
      </c>
      <c r="BM29">
        <v>39132</v>
      </c>
      <c r="BN29">
        <v>121311</v>
      </c>
      <c r="BO29">
        <v>12081</v>
      </c>
      <c r="BP29">
        <v>29</v>
      </c>
      <c r="BQ29">
        <v>315</v>
      </c>
      <c r="BR29">
        <v>149</v>
      </c>
      <c r="BS29">
        <v>1669</v>
      </c>
    </row>
    <row r="30" spans="1:71">
      <c r="A30">
        <v>27</v>
      </c>
      <c r="B30" t="s">
        <v>96</v>
      </c>
      <c r="C30">
        <v>4420</v>
      </c>
      <c r="D30">
        <v>4420</v>
      </c>
      <c r="E30">
        <v>996.5</v>
      </c>
      <c r="F30" t="s">
        <v>71</v>
      </c>
      <c r="G30">
        <v>120272.1</v>
      </c>
      <c r="H30">
        <v>32.1</v>
      </c>
      <c r="I30">
        <v>29.7</v>
      </c>
      <c r="J30">
        <v>2.1</v>
      </c>
      <c r="K30">
        <v>0.3</v>
      </c>
      <c r="L30">
        <v>32.1</v>
      </c>
      <c r="M30">
        <v>27</v>
      </c>
      <c r="N30">
        <v>1.4</v>
      </c>
      <c r="O30">
        <v>3.2</v>
      </c>
      <c r="P30">
        <v>0.5</v>
      </c>
      <c r="Q30">
        <v>873.5</v>
      </c>
      <c r="R30">
        <v>445.3</v>
      </c>
      <c r="S30">
        <v>14</v>
      </c>
      <c r="T30">
        <v>17885</v>
      </c>
      <c r="U30">
        <v>80038.7</v>
      </c>
      <c r="V30">
        <v>4297.8999999999996</v>
      </c>
      <c r="W30">
        <v>176.3</v>
      </c>
      <c r="X30">
        <v>177.7</v>
      </c>
      <c r="Y30">
        <v>5941.3</v>
      </c>
      <c r="Z30">
        <v>143753</v>
      </c>
      <c r="AA30">
        <v>17497</v>
      </c>
      <c r="AB30">
        <v>24042</v>
      </c>
      <c r="AC30">
        <v>92810</v>
      </c>
      <c r="AD30">
        <v>2200</v>
      </c>
      <c r="AE30">
        <v>7204</v>
      </c>
      <c r="AF30">
        <v>305</v>
      </c>
      <c r="AG30">
        <v>2.6</v>
      </c>
      <c r="AH30">
        <v>0.9</v>
      </c>
      <c r="AI30">
        <v>0.5</v>
      </c>
      <c r="AJ30">
        <v>0.1</v>
      </c>
      <c r="AK30">
        <v>1.1000000000000001</v>
      </c>
      <c r="AL30">
        <v>5222</v>
      </c>
      <c r="AM30">
        <v>3225</v>
      </c>
      <c r="AN30">
        <v>1223</v>
      </c>
      <c r="AO30">
        <v>8</v>
      </c>
      <c r="AP30">
        <v>12</v>
      </c>
      <c r="AQ30">
        <v>766</v>
      </c>
      <c r="AR30">
        <v>26</v>
      </c>
      <c r="AS30" t="s">
        <v>71</v>
      </c>
      <c r="AT30">
        <v>26</v>
      </c>
      <c r="AU30" t="s">
        <v>71</v>
      </c>
      <c r="AV30" t="s">
        <v>71</v>
      </c>
      <c r="AW30" t="s">
        <v>71</v>
      </c>
      <c r="AX30">
        <v>7233</v>
      </c>
      <c r="AY30">
        <v>199</v>
      </c>
      <c r="AZ30">
        <v>119</v>
      </c>
      <c r="BA30">
        <v>15</v>
      </c>
      <c r="BB30">
        <v>6912</v>
      </c>
      <c r="BC30">
        <v>22</v>
      </c>
      <c r="BD30">
        <v>5222</v>
      </c>
      <c r="BE30">
        <v>5222</v>
      </c>
      <c r="BF30">
        <v>1000</v>
      </c>
      <c r="BG30">
        <v>120</v>
      </c>
      <c r="BH30">
        <v>82</v>
      </c>
      <c r="BI30">
        <v>27</v>
      </c>
      <c r="BJ30">
        <v>27</v>
      </c>
      <c r="BK30">
        <v>3</v>
      </c>
      <c r="BL30">
        <v>506406</v>
      </c>
      <c r="BM30">
        <v>9368</v>
      </c>
      <c r="BN30">
        <v>29589</v>
      </c>
      <c r="BO30">
        <v>4228</v>
      </c>
      <c r="BP30">
        <v>0</v>
      </c>
      <c r="BQ30" t="s">
        <v>71</v>
      </c>
      <c r="BR30" t="s">
        <v>71</v>
      </c>
      <c r="BS30">
        <v>18</v>
      </c>
    </row>
    <row r="31" spans="1:71">
      <c r="A31">
        <v>28</v>
      </c>
      <c r="B31" t="s">
        <v>97</v>
      </c>
      <c r="C31">
        <v>389.3</v>
      </c>
      <c r="D31">
        <v>353.8</v>
      </c>
      <c r="E31">
        <v>144.4</v>
      </c>
      <c r="F31">
        <v>35.5</v>
      </c>
      <c r="G31">
        <v>984.9</v>
      </c>
      <c r="H31">
        <v>100</v>
      </c>
      <c r="I31">
        <v>61.6</v>
      </c>
      <c r="J31">
        <v>30.1</v>
      </c>
      <c r="K31">
        <v>8.4</v>
      </c>
      <c r="L31">
        <v>100</v>
      </c>
      <c r="M31">
        <v>56</v>
      </c>
      <c r="N31">
        <v>14.9</v>
      </c>
      <c r="O31">
        <v>21.2</v>
      </c>
      <c r="P31">
        <v>7.9</v>
      </c>
      <c r="Q31">
        <v>253</v>
      </c>
      <c r="R31">
        <v>3040.6</v>
      </c>
      <c r="S31">
        <v>1105.4000000000001</v>
      </c>
      <c r="T31">
        <v>12436.5</v>
      </c>
      <c r="U31">
        <v>2188.8000000000002</v>
      </c>
      <c r="V31">
        <v>45.9</v>
      </c>
      <c r="W31">
        <v>941.7</v>
      </c>
      <c r="X31">
        <v>321.60000000000002</v>
      </c>
      <c r="Y31">
        <v>283.10000000000002</v>
      </c>
      <c r="Z31">
        <v>1951759</v>
      </c>
      <c r="AA31">
        <v>219246</v>
      </c>
      <c r="AB31">
        <v>344591</v>
      </c>
      <c r="AC31">
        <v>1002632</v>
      </c>
      <c r="AD31">
        <v>243579</v>
      </c>
      <c r="AE31">
        <v>141711</v>
      </c>
      <c r="AF31">
        <v>1186.5999999999999</v>
      </c>
      <c r="AG31">
        <v>193.7</v>
      </c>
      <c r="AH31">
        <v>71.8</v>
      </c>
      <c r="AI31">
        <v>15.8</v>
      </c>
      <c r="AJ31">
        <v>19.100000000000001</v>
      </c>
      <c r="AK31">
        <v>87</v>
      </c>
      <c r="AL31">
        <v>20995</v>
      </c>
      <c r="AM31">
        <v>19444</v>
      </c>
      <c r="AN31">
        <v>115</v>
      </c>
      <c r="AO31">
        <v>203</v>
      </c>
      <c r="AP31">
        <v>1221</v>
      </c>
      <c r="AQ31">
        <v>12</v>
      </c>
      <c r="AR31">
        <v>67346</v>
      </c>
      <c r="AS31">
        <v>26397</v>
      </c>
      <c r="AT31">
        <v>9166</v>
      </c>
      <c r="AU31">
        <v>382</v>
      </c>
      <c r="AV31" t="s">
        <v>71</v>
      </c>
      <c r="AW31">
        <v>31401</v>
      </c>
      <c r="AX31">
        <v>35426</v>
      </c>
      <c r="AY31">
        <v>1288</v>
      </c>
      <c r="AZ31">
        <v>737</v>
      </c>
      <c r="BA31">
        <v>181</v>
      </c>
      <c r="BB31">
        <v>33662</v>
      </c>
      <c r="BC31">
        <v>769</v>
      </c>
      <c r="BD31">
        <v>20995</v>
      </c>
      <c r="BE31">
        <v>20995</v>
      </c>
      <c r="BF31">
        <v>10372</v>
      </c>
      <c r="BG31">
        <v>355</v>
      </c>
      <c r="BH31">
        <v>121</v>
      </c>
      <c r="BI31">
        <v>4</v>
      </c>
      <c r="BJ31">
        <v>118</v>
      </c>
      <c r="BK31">
        <v>74</v>
      </c>
      <c r="BL31">
        <v>400614</v>
      </c>
      <c r="BM31">
        <v>20984</v>
      </c>
      <c r="BN31">
        <v>49220</v>
      </c>
      <c r="BO31">
        <v>4706</v>
      </c>
      <c r="BP31">
        <v>28</v>
      </c>
      <c r="BQ31">
        <v>1198</v>
      </c>
      <c r="BR31">
        <v>321</v>
      </c>
      <c r="BS31">
        <v>1127</v>
      </c>
    </row>
    <row r="32" spans="1:71">
      <c r="A32">
        <v>29</v>
      </c>
      <c r="B32" t="s">
        <v>98</v>
      </c>
      <c r="C32">
        <v>261.39999999999998</v>
      </c>
      <c r="D32">
        <v>250.6</v>
      </c>
      <c r="E32">
        <v>123.3</v>
      </c>
      <c r="F32">
        <v>10.8</v>
      </c>
      <c r="G32">
        <v>1062</v>
      </c>
      <c r="H32">
        <v>117.3</v>
      </c>
      <c r="I32">
        <v>83.9</v>
      </c>
      <c r="J32">
        <v>28.5</v>
      </c>
      <c r="K32">
        <v>4.8</v>
      </c>
      <c r="L32">
        <v>117.3</v>
      </c>
      <c r="M32">
        <v>90</v>
      </c>
      <c r="N32">
        <v>6.4</v>
      </c>
      <c r="O32">
        <v>10.6</v>
      </c>
      <c r="P32">
        <v>10.3</v>
      </c>
      <c r="Q32">
        <v>476.5</v>
      </c>
      <c r="R32">
        <v>5220.3</v>
      </c>
      <c r="S32">
        <v>413.4</v>
      </c>
      <c r="T32">
        <v>8218.9</v>
      </c>
      <c r="U32">
        <v>14039.3</v>
      </c>
      <c r="V32">
        <v>1182.0999999999999</v>
      </c>
      <c r="W32">
        <v>887.1</v>
      </c>
      <c r="X32">
        <v>358.3</v>
      </c>
      <c r="Y32">
        <v>413.7</v>
      </c>
      <c r="Z32">
        <v>1718766</v>
      </c>
      <c r="AA32">
        <v>218513</v>
      </c>
      <c r="AB32">
        <v>525968</v>
      </c>
      <c r="AC32">
        <v>722488</v>
      </c>
      <c r="AD32">
        <v>81172</v>
      </c>
      <c r="AE32">
        <v>170625</v>
      </c>
      <c r="AF32">
        <v>1453.9</v>
      </c>
      <c r="AG32">
        <v>77.3</v>
      </c>
      <c r="AH32">
        <v>29.4</v>
      </c>
      <c r="AI32">
        <v>14.1</v>
      </c>
      <c r="AJ32">
        <v>7.7</v>
      </c>
      <c r="AK32">
        <v>26</v>
      </c>
      <c r="AL32">
        <v>16222</v>
      </c>
      <c r="AM32">
        <v>5742</v>
      </c>
      <c r="AN32">
        <v>6755</v>
      </c>
      <c r="AO32">
        <v>751</v>
      </c>
      <c r="AP32">
        <v>1413</v>
      </c>
      <c r="AQ32">
        <v>1561</v>
      </c>
      <c r="AR32">
        <v>64955</v>
      </c>
      <c r="AS32">
        <v>9911</v>
      </c>
      <c r="AT32">
        <v>36913</v>
      </c>
      <c r="AU32">
        <v>607</v>
      </c>
      <c r="AV32" t="s">
        <v>71</v>
      </c>
      <c r="AW32">
        <v>17524</v>
      </c>
      <c r="AX32">
        <v>26741</v>
      </c>
      <c r="AY32">
        <v>765</v>
      </c>
      <c r="AZ32">
        <v>365</v>
      </c>
      <c r="BA32">
        <v>127</v>
      </c>
      <c r="BB32">
        <v>25653</v>
      </c>
      <c r="BC32">
        <v>832</v>
      </c>
      <c r="BD32">
        <v>16222</v>
      </c>
      <c r="BE32">
        <v>16222</v>
      </c>
      <c r="BF32">
        <v>7255</v>
      </c>
      <c r="BG32">
        <v>286</v>
      </c>
      <c r="BH32">
        <v>105</v>
      </c>
      <c r="BI32">
        <v>10</v>
      </c>
      <c r="BJ32">
        <v>99</v>
      </c>
      <c r="BK32">
        <v>4</v>
      </c>
      <c r="BL32">
        <v>920791</v>
      </c>
      <c r="BM32">
        <v>12589</v>
      </c>
      <c r="BN32">
        <v>46883</v>
      </c>
      <c r="BO32">
        <v>6804</v>
      </c>
      <c r="BP32">
        <v>12</v>
      </c>
      <c r="BQ32">
        <v>542</v>
      </c>
      <c r="BR32">
        <v>105</v>
      </c>
      <c r="BS32">
        <v>804</v>
      </c>
    </row>
    <row r="33" spans="1:71">
      <c r="A33">
        <v>30</v>
      </c>
      <c r="B33" t="s">
        <v>99</v>
      </c>
      <c r="C33">
        <v>958.6</v>
      </c>
      <c r="D33">
        <v>932.4</v>
      </c>
      <c r="E33">
        <v>412.9</v>
      </c>
      <c r="F33">
        <v>26.2</v>
      </c>
      <c r="G33">
        <v>16151.6</v>
      </c>
      <c r="H33">
        <v>26.1</v>
      </c>
      <c r="I33">
        <v>20.2</v>
      </c>
      <c r="J33">
        <v>4.5999999999999996</v>
      </c>
      <c r="K33">
        <v>1.3</v>
      </c>
      <c r="L33">
        <v>26.1</v>
      </c>
      <c r="M33">
        <v>17.7</v>
      </c>
      <c r="N33">
        <v>3.2</v>
      </c>
      <c r="O33">
        <v>3.2</v>
      </c>
      <c r="P33">
        <v>2</v>
      </c>
      <c r="Q33">
        <v>439.8</v>
      </c>
      <c r="R33">
        <v>570</v>
      </c>
      <c r="S33">
        <v>59.2</v>
      </c>
      <c r="T33">
        <v>4604</v>
      </c>
      <c r="U33">
        <v>39432.9</v>
      </c>
      <c r="V33">
        <v>5100</v>
      </c>
      <c r="W33">
        <v>384.2</v>
      </c>
      <c r="X33">
        <v>154.30000000000001</v>
      </c>
      <c r="Y33">
        <v>2455.3000000000002</v>
      </c>
      <c r="Z33">
        <v>161140</v>
      </c>
      <c r="AA33">
        <v>36229</v>
      </c>
      <c r="AB33">
        <v>59072</v>
      </c>
      <c r="AC33">
        <v>57248</v>
      </c>
      <c r="AD33">
        <v>7941</v>
      </c>
      <c r="AE33">
        <v>650</v>
      </c>
      <c r="AF33">
        <v>229.1</v>
      </c>
      <c r="AG33">
        <v>4.5</v>
      </c>
      <c r="AH33">
        <v>1.7</v>
      </c>
      <c r="AI33">
        <v>0.5</v>
      </c>
      <c r="AJ33">
        <v>0.1</v>
      </c>
      <c r="AK33">
        <v>2.1</v>
      </c>
      <c r="AL33">
        <v>4489</v>
      </c>
      <c r="AM33">
        <v>2571</v>
      </c>
      <c r="AN33">
        <v>656</v>
      </c>
      <c r="AO33">
        <v>479</v>
      </c>
      <c r="AP33">
        <v>317</v>
      </c>
      <c r="AQ33">
        <v>466</v>
      </c>
      <c r="AR33">
        <v>128587</v>
      </c>
      <c r="AS33">
        <v>10375</v>
      </c>
      <c r="AT33">
        <v>57637</v>
      </c>
      <c r="AU33">
        <v>26146</v>
      </c>
      <c r="AV33">
        <v>62</v>
      </c>
      <c r="AW33">
        <v>34367</v>
      </c>
      <c r="AX33">
        <v>6914</v>
      </c>
      <c r="AY33">
        <v>252</v>
      </c>
      <c r="AZ33">
        <v>134</v>
      </c>
      <c r="BA33">
        <v>16</v>
      </c>
      <c r="BB33">
        <v>6536</v>
      </c>
      <c r="BC33">
        <v>280</v>
      </c>
      <c r="BD33">
        <v>4489</v>
      </c>
      <c r="BE33">
        <v>4489</v>
      </c>
      <c r="BF33">
        <v>3952</v>
      </c>
      <c r="BG33">
        <v>124</v>
      </c>
      <c r="BH33">
        <v>54</v>
      </c>
      <c r="BI33">
        <v>2</v>
      </c>
      <c r="BJ33">
        <v>52</v>
      </c>
      <c r="BK33">
        <v>1</v>
      </c>
      <c r="BL33">
        <v>281929</v>
      </c>
      <c r="BM33">
        <v>4158</v>
      </c>
      <c r="BN33">
        <v>14989</v>
      </c>
      <c r="BO33">
        <v>1456</v>
      </c>
      <c r="BP33">
        <v>3</v>
      </c>
      <c r="BQ33">
        <v>298</v>
      </c>
      <c r="BR33">
        <v>80</v>
      </c>
      <c r="BS33">
        <v>52</v>
      </c>
    </row>
    <row r="34" spans="1:71">
      <c r="A34">
        <v>31</v>
      </c>
      <c r="B34" t="s">
        <v>100</v>
      </c>
      <c r="C34">
        <v>13</v>
      </c>
      <c r="D34">
        <v>10</v>
      </c>
      <c r="E34">
        <v>16.100000000000001</v>
      </c>
      <c r="F34">
        <v>3</v>
      </c>
      <c r="G34">
        <v>178.3</v>
      </c>
      <c r="H34">
        <v>61.4</v>
      </c>
      <c r="I34">
        <v>52.9</v>
      </c>
      <c r="J34">
        <v>4.7</v>
      </c>
      <c r="K34">
        <v>3.8</v>
      </c>
      <c r="L34">
        <v>61.4</v>
      </c>
      <c r="M34">
        <v>48.7</v>
      </c>
      <c r="N34">
        <v>5.7</v>
      </c>
      <c r="O34">
        <v>3.8</v>
      </c>
      <c r="P34">
        <v>3.2</v>
      </c>
      <c r="Q34">
        <v>842.2</v>
      </c>
      <c r="R34">
        <v>1207.3</v>
      </c>
      <c r="S34">
        <v>89.2</v>
      </c>
      <c r="T34">
        <v>981.3</v>
      </c>
      <c r="U34">
        <v>1980.6</v>
      </c>
      <c r="V34">
        <v>25.4</v>
      </c>
      <c r="W34">
        <v>303.7</v>
      </c>
      <c r="X34">
        <v>101.2</v>
      </c>
      <c r="Y34">
        <v>170.7</v>
      </c>
      <c r="Z34">
        <v>470978</v>
      </c>
      <c r="AA34">
        <v>77162</v>
      </c>
      <c r="AB34">
        <v>184033</v>
      </c>
      <c r="AC34">
        <v>188160</v>
      </c>
      <c r="AD34">
        <v>16168</v>
      </c>
      <c r="AE34">
        <v>5455</v>
      </c>
      <c r="AF34">
        <v>564.70000000000005</v>
      </c>
      <c r="AG34">
        <v>36.799999999999997</v>
      </c>
      <c r="AH34">
        <v>13.5</v>
      </c>
      <c r="AI34">
        <v>4.0999999999999996</v>
      </c>
      <c r="AJ34">
        <v>2.9</v>
      </c>
      <c r="AK34">
        <v>16.3</v>
      </c>
      <c r="AL34">
        <v>2139</v>
      </c>
      <c r="AM34">
        <v>77162</v>
      </c>
      <c r="AN34">
        <v>2139</v>
      </c>
      <c r="AO34" t="s">
        <v>71</v>
      </c>
      <c r="AP34" t="s">
        <v>71</v>
      </c>
      <c r="AQ34" t="s">
        <v>71</v>
      </c>
      <c r="AR34">
        <v>36360</v>
      </c>
      <c r="AS34">
        <v>34163</v>
      </c>
      <c r="AT34">
        <v>34163</v>
      </c>
      <c r="AU34">
        <v>333</v>
      </c>
      <c r="AV34" t="s">
        <v>71</v>
      </c>
      <c r="AW34">
        <v>1864</v>
      </c>
      <c r="AX34">
        <v>4986</v>
      </c>
      <c r="AY34">
        <v>219</v>
      </c>
      <c r="AZ34">
        <v>132</v>
      </c>
      <c r="BA34">
        <v>31</v>
      </c>
      <c r="BB34">
        <v>4660</v>
      </c>
      <c r="BC34">
        <v>254</v>
      </c>
      <c r="BD34">
        <v>2139</v>
      </c>
      <c r="BE34">
        <v>2139</v>
      </c>
      <c r="BF34">
        <v>2063</v>
      </c>
      <c r="BG34">
        <v>84</v>
      </c>
      <c r="BH34">
        <v>27</v>
      </c>
      <c r="BI34" t="s">
        <v>71</v>
      </c>
      <c r="BJ34">
        <v>25</v>
      </c>
      <c r="BK34">
        <v>2</v>
      </c>
      <c r="BL34">
        <v>263736</v>
      </c>
      <c r="BM34">
        <v>4852</v>
      </c>
      <c r="BN34">
        <v>15892</v>
      </c>
      <c r="BO34">
        <v>2469</v>
      </c>
      <c r="BP34">
        <v>6</v>
      </c>
      <c r="BQ34">
        <v>182</v>
      </c>
      <c r="BR34">
        <v>151</v>
      </c>
      <c r="BS34">
        <v>19</v>
      </c>
    </row>
    <row r="35" spans="1:71">
      <c r="A35">
        <v>32</v>
      </c>
      <c r="B35" t="s">
        <v>101</v>
      </c>
      <c r="C35">
        <v>1025.9000000000001</v>
      </c>
      <c r="D35">
        <v>975.7</v>
      </c>
      <c r="E35">
        <v>541.1</v>
      </c>
      <c r="F35">
        <v>50.2</v>
      </c>
      <c r="G35">
        <v>3929.9</v>
      </c>
      <c r="H35">
        <v>633</v>
      </c>
      <c r="I35">
        <v>498.3</v>
      </c>
      <c r="J35">
        <v>118.7</v>
      </c>
      <c r="K35">
        <v>16</v>
      </c>
      <c r="L35">
        <v>633</v>
      </c>
      <c r="M35">
        <v>567.4</v>
      </c>
      <c r="N35">
        <v>11.8</v>
      </c>
      <c r="O35">
        <v>20</v>
      </c>
      <c r="P35">
        <v>33.9</v>
      </c>
      <c r="Q35">
        <v>2424.8000000000002</v>
      </c>
      <c r="R35">
        <v>7191.3</v>
      </c>
      <c r="S35">
        <v>1044.0999999999999</v>
      </c>
      <c r="T35">
        <v>12576</v>
      </c>
      <c r="U35">
        <v>51465</v>
      </c>
      <c r="V35">
        <v>1511.9</v>
      </c>
      <c r="W35">
        <v>1538</v>
      </c>
      <c r="X35">
        <v>628.4</v>
      </c>
      <c r="Y35">
        <v>5354.3</v>
      </c>
      <c r="Z35">
        <v>995623</v>
      </c>
      <c r="AA35">
        <v>145224</v>
      </c>
      <c r="AB35">
        <v>327910</v>
      </c>
      <c r="AC35">
        <v>390784</v>
      </c>
      <c r="AD35">
        <v>92298</v>
      </c>
      <c r="AE35">
        <v>39407</v>
      </c>
      <c r="AF35">
        <v>6679.2</v>
      </c>
      <c r="AG35">
        <v>251.9</v>
      </c>
      <c r="AH35">
        <v>105.8</v>
      </c>
      <c r="AI35">
        <v>55.6</v>
      </c>
      <c r="AJ35">
        <v>24.4</v>
      </c>
      <c r="AK35">
        <v>66.099999999999994</v>
      </c>
      <c r="AL35">
        <v>9526</v>
      </c>
      <c r="AM35">
        <v>1655</v>
      </c>
      <c r="AN35">
        <v>6226</v>
      </c>
      <c r="AO35">
        <v>771</v>
      </c>
      <c r="AP35">
        <v>132</v>
      </c>
      <c r="AQ35">
        <v>742</v>
      </c>
      <c r="AR35">
        <v>108805</v>
      </c>
      <c r="AS35">
        <v>10463</v>
      </c>
      <c r="AT35">
        <v>81210</v>
      </c>
      <c r="AU35">
        <v>5119</v>
      </c>
      <c r="AV35">
        <v>20</v>
      </c>
      <c r="AW35">
        <v>11993</v>
      </c>
      <c r="AX35">
        <v>19112</v>
      </c>
      <c r="AY35">
        <v>1009</v>
      </c>
      <c r="AZ35">
        <v>739</v>
      </c>
      <c r="BA35">
        <v>83</v>
      </c>
      <c r="BB35">
        <v>17713</v>
      </c>
      <c r="BC35">
        <v>1357</v>
      </c>
      <c r="BD35">
        <v>9526</v>
      </c>
      <c r="BE35">
        <v>9526</v>
      </c>
      <c r="BF35">
        <v>5905</v>
      </c>
      <c r="BG35">
        <v>367</v>
      </c>
      <c r="BH35">
        <v>172</v>
      </c>
      <c r="BI35">
        <v>3</v>
      </c>
      <c r="BJ35">
        <v>105</v>
      </c>
      <c r="BK35">
        <v>18</v>
      </c>
      <c r="BL35">
        <v>704744</v>
      </c>
      <c r="BM35">
        <v>23707</v>
      </c>
      <c r="BN35">
        <v>61355</v>
      </c>
      <c r="BO35">
        <v>6294</v>
      </c>
      <c r="BP35">
        <v>26</v>
      </c>
      <c r="BQ35">
        <v>870</v>
      </c>
      <c r="BR35">
        <v>157</v>
      </c>
      <c r="BS35">
        <v>368</v>
      </c>
    </row>
  </sheetData>
  <phoneticPr fontId="7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 on chinese regions 202 (R)</vt:lpstr>
      <vt:lpstr>data on chinese regions 2024</vt:lpstr>
      <vt:lpstr>notes</vt:lpstr>
      <vt:lpstr>data on chinese regions 202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Kalista</cp:lastModifiedBy>
  <dcterms:created xsi:type="dcterms:W3CDTF">2026-01-08T08:33:00Z</dcterms:created>
  <dcterms:modified xsi:type="dcterms:W3CDTF">2026-03-24T03:31:10Z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1033-12.1.21938.21938</vt:lpwstr>
  </property>
  <property fmtid="{D5CDD505-2E9C-101B-9397-08002B2CF9AE}" pid="3" name="ICV">
    <vt:lpwstr>CD91D0CE3A9951F1C48C5E6926511F4D_43</vt:lpwstr>
  </property>
</Properties>
</file>